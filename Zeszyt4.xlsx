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6C732A75-1A56-4E3F-8E85-91A7FC4F4AB7}" xr6:coauthVersionLast="36" xr6:coauthVersionMax="36" xr10:uidLastSave="{00000000-0000-0000-0000-000000000000}"/>
  <bookViews>
    <workbookView xWindow="0" yWindow="0" windowWidth="28800" windowHeight="13365" activeTab="2" xr2:uid="{5BDDF1B6-D0EB-412B-924D-EC408B5F14D6}"/>
  </bookViews>
  <sheets>
    <sheet name="Arkusz2" sheetId="2" r:id="rId1"/>
    <sheet name="Arkusz3" sheetId="3" r:id="rId2"/>
    <sheet name="Arkusz1" sheetId="1" r:id="rId3"/>
  </sheets>
  <definedNames>
    <definedName name="_xlnm._FilterDatabase" localSheetId="2" hidden="1">Arkusz1!$A$1:$G$385</definedName>
  </definedNames>
  <calcPr calcId="191029"/>
  <pivotCaches>
    <pivotCache cacheId="93" r:id="rId4"/>
    <pivotCache cacheId="10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1" i="1" l="1"/>
  <c r="P411" i="1"/>
  <c r="O411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409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409" i="1"/>
  <c r="F409" i="1" l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E10" i="2" l="1"/>
  <c r="E20" i="2" s="1"/>
  <c r="F10" i="2"/>
  <c r="F20" i="2"/>
  <c r="F18" i="2"/>
  <c r="F17" i="2"/>
  <c r="F16" i="2"/>
  <c r="F15" i="2"/>
  <c r="F14" i="2"/>
  <c r="F13" i="2"/>
  <c r="F12" i="2"/>
  <c r="F11" i="2"/>
  <c r="F9" i="2"/>
  <c r="F8" i="2"/>
  <c r="F7" i="2"/>
  <c r="F6" i="2"/>
  <c r="F5" i="2"/>
  <c r="F4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F385" i="1" l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411" i="1" l="1"/>
  <c r="G411" i="1"/>
</calcChain>
</file>

<file path=xl/sharedStrings.xml><?xml version="1.0" encoding="utf-8"?>
<sst xmlns="http://schemas.openxmlformats.org/spreadsheetml/2006/main" count="20" uniqueCount="16">
  <si>
    <t>Date</t>
  </si>
  <si>
    <t>Hour</t>
  </si>
  <si>
    <t>ATV A16-59</t>
  </si>
  <si>
    <t>real</t>
  </si>
  <si>
    <t>mujProg</t>
  </si>
  <si>
    <t>RMSE_model</t>
  </si>
  <si>
    <t>RMSE_muj</t>
  </si>
  <si>
    <t>Etykiety wierszy</t>
  </si>
  <si>
    <t>Średnia z ATV A16-59</t>
  </si>
  <si>
    <t>Średnia z mujProg</t>
  </si>
  <si>
    <t>Średnia z real</t>
  </si>
  <si>
    <t>Suma końcowa</t>
  </si>
  <si>
    <t>z nowymi zmiennnymi</t>
  </si>
  <si>
    <t>bez nowych</t>
  </si>
  <si>
    <t>RMSE</t>
  </si>
  <si>
    <t>Bez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</si>
</sst>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z_ł_-;\-* #,##0.00\ _z_ł_-;_-* &quot;-&quot;??\ _z_ł_-;_-@_-"/>
    <numFmt numFmtId="164" formatCode="0.000"/>
  </numFmts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rgb="FFFFFFFF"/>
      <name val="Calibri"/>
      <family val="2"/>
      <charset val="238"/>
    </font>
    <font>
      <sz val="8"/>
      <color rgb="FF000000"/>
      <name val="MS Sans Serif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indexed="8"/>
      <name val="MS Sans Serif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A0C21"/>
        <bgColor rgb="FF000000"/>
      </patternFill>
    </fill>
    <fill>
      <patternFill patternType="solid">
        <fgColor rgb="FF9BC2E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BC2E6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43" fontId="3" fillId="3" borderId="0" xfId="2" applyFont="1" applyFill="1" applyBorder="1" applyAlignment="1">
      <alignment vertical="center"/>
    </xf>
    <xf numFmtId="14" fontId="4" fillId="0" borderId="0" xfId="0" applyNumberFormat="1" applyFont="1" applyFill="1" applyBorder="1"/>
    <xf numFmtId="0" fontId="5" fillId="0" borderId="0" xfId="0" applyFont="1" applyFill="1" applyBorder="1"/>
    <xf numFmtId="164" fontId="5" fillId="0" borderId="0" xfId="0" applyNumberFormat="1" applyFont="1" applyFill="1" applyBorder="1"/>
    <xf numFmtId="43" fontId="3" fillId="0" borderId="0" xfId="2" applyFont="1" applyFill="1" applyBorder="1" applyAlignment="1">
      <alignment vertical="center"/>
    </xf>
    <xf numFmtId="14" fontId="4" fillId="0" borderId="2" xfId="0" applyNumberFormat="1" applyFont="1" applyFill="1" applyBorder="1"/>
    <xf numFmtId="0" fontId="2" fillId="2" borderId="3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43" fontId="0" fillId="0" borderId="0" xfId="0" applyNumberFormat="1"/>
    <xf numFmtId="43" fontId="8" fillId="0" borderId="0" xfId="2" applyFont="1" applyAlignment="1">
      <alignment vertical="center"/>
    </xf>
    <xf numFmtId="14" fontId="7" fillId="0" borderId="0" xfId="0" applyNumberFormat="1" applyFont="1"/>
    <xf numFmtId="14" fontId="7" fillId="0" borderId="4" xfId="0" applyNumberFormat="1" applyFont="1" applyBorder="1"/>
    <xf numFmtId="43" fontId="0" fillId="0" borderId="0" xfId="3" applyFont="1"/>
  </cellXfs>
  <cellStyles count="4">
    <cellStyle name="Dziesiętny" xfId="3" builtinId="3"/>
    <cellStyle name="Dziesiętny 2" xfId="2" xr:uid="{33677B3D-1DA3-4B7E-B8CD-3E11C50CBA31}"/>
    <cellStyle name="Normalny" xfId="0" builtinId="0"/>
    <cellStyle name="Normalny 2" xfId="1" xr:uid="{1E73930C-98CB-40AE-B021-A3E7AE676B0B}"/>
  </cellStyles>
  <dxfs count="2"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197.690170486108" createdVersion="6" refreshedVersion="6" minRefreshableVersion="3" recordCount="384" xr:uid="{2F310C58-DCC6-4325-A481-740931291511}">
  <cacheSource type="worksheet">
    <worksheetSource ref="A1:G385" sheet="Arkusz1"/>
  </cacheSource>
  <cacheFields count="7">
    <cacheField name="Date" numFmtId="14">
      <sharedItems containsSemiMixedTypes="0" containsNonDate="0" containsDate="1" containsString="0" minDate="2026-06-07T00:00:00" maxDate="2026-06-24T00:00:00" count="17"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</sharedItems>
    </cacheField>
    <cacheField name="Hour" numFmtId="0">
      <sharedItems containsSemiMixedTypes="0" containsString="0" containsNumber="1" containsInteger="1" minValue="6" maxValue="29"/>
    </cacheField>
    <cacheField name="ATV A16-59" numFmtId="164">
      <sharedItems containsSemiMixedTypes="0" containsString="0" containsNumber="1" minValue="1.695941609675137" maxValue="28.519063088716692"/>
    </cacheField>
    <cacheField name="real" numFmtId="43">
      <sharedItems containsSemiMixedTypes="0" containsString="0" containsNumber="1" minValue="1.68" maxValue="31.49"/>
    </cacheField>
    <cacheField name="mujProg" numFmtId="0">
      <sharedItems containsSemiMixedTypes="0" containsString="0" containsNumber="1" minValue="1.707295894622803" maxValue="27.037752151489261"/>
    </cacheField>
    <cacheField name="RMSE_model" numFmtId="0">
      <sharedItems containsSemiMixedTypes="0" containsString="0" containsNumber="1" minValue="9.2877648165019319E-6" maxValue="12.869747584880244"/>
    </cacheField>
    <cacheField name="RMSE_muj" numFmtId="0">
      <sharedItems containsSemiMixedTypes="0" containsString="0" containsNumber="1" minValue="3.8876754843463045E-7" maxValue="44.2810407003027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198.474196296294" createdVersion="6" refreshedVersion="6" minRefreshableVersion="3" recordCount="408" xr:uid="{70ADE5FA-4F7D-4B43-B291-1FE6588BBE20}">
  <cacheSource type="worksheet">
    <worksheetSource ref="A1:G409" sheet="Arkusz1"/>
  </cacheSource>
  <cacheFields count="7">
    <cacheField name="Date" numFmtId="14">
      <sharedItems containsSemiMixedTypes="0" containsNonDate="0" containsDate="1" containsString="0" minDate="2026-06-07T00:00:00" maxDate="2026-06-25T00:00:00" count="18"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</sharedItems>
    </cacheField>
    <cacheField name="Hour" numFmtId="0">
      <sharedItems containsSemiMixedTypes="0" containsString="0" containsNumber="1" containsInteger="1" minValue="6" maxValue="29"/>
    </cacheField>
    <cacheField name="ATV A16-59" numFmtId="0">
      <sharedItems containsSemiMixedTypes="0" containsString="0" containsNumber="1" minValue="1.695941609675137" maxValue="28.519063088716692"/>
    </cacheField>
    <cacheField name="real" numFmtId="43">
      <sharedItems containsSemiMixedTypes="0" containsString="0" containsNumber="1" minValue="1.68" maxValue="31.49"/>
    </cacheField>
    <cacheField name="mujProg" numFmtId="0">
      <sharedItems containsSemiMixedTypes="0" containsString="0" containsNumber="1" minValue="1.750935554504395" maxValue="28.065679550170898"/>
    </cacheField>
    <cacheField name="RMSE_model" numFmtId="0">
      <sharedItems containsSemiMixedTypes="0" containsString="0" containsNumber="1" minValue="9.2877648165019319E-6" maxValue="12.869747584880244"/>
    </cacheField>
    <cacheField name="RMSE_muj" numFmtId="0">
      <sharedItems containsSemiMixedTypes="0" containsString="0" containsNumber="1" minValue="1.222053775565761E-7" maxValue="31.5602124602767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n v="26"/>
    <n v="3.2486838047519404"/>
    <n v="3.21"/>
    <n v="3.2454624176025391"/>
    <n v="1.4964367500862499E-3"/>
    <n v="1.2575830622168749E-3"/>
  </r>
  <r>
    <x v="0"/>
    <n v="27"/>
    <n v="2.2739203524157467"/>
    <n v="2.2999999999999998"/>
    <n v="2.172938346862793"/>
    <n v="6.8014801811883715E-4"/>
    <n v="1.6144663697959867E-2"/>
  </r>
  <r>
    <x v="0"/>
    <n v="28"/>
    <n v="1.8929667338812863"/>
    <n v="1.86"/>
    <n v="1.7477073669433589"/>
    <n v="1.0868055427995459E-3"/>
    <n v="1.2609635438793461E-2"/>
  </r>
  <r>
    <x v="0"/>
    <n v="29"/>
    <n v="2.3176717313483026"/>
    <n v="2.13"/>
    <n v="2.1862094402313228"/>
    <n v="3.5220678747269515E-2"/>
    <n v="3.1595011711186621E-3"/>
  </r>
  <r>
    <x v="1"/>
    <n v="6"/>
    <n v="4.0281760649605172"/>
    <n v="4.01"/>
    <n v="3.5825009346008301"/>
    <n v="3.3036933744894764E-4"/>
    <n v="0.18275545091716358"/>
  </r>
  <r>
    <x v="1"/>
    <n v="7"/>
    <n v="5.8477684408538515"/>
    <n v="5.48"/>
    <n v="5.4323253631591797"/>
    <n v="0.13525362608807256"/>
    <n v="2.2728709979041419E-3"/>
  </r>
  <r>
    <x v="1"/>
    <n v="8"/>
    <n v="7.6208383832416677"/>
    <n v="7.66"/>
    <n v="7.052363395690918"/>
    <n v="1.5336322271265017E-3"/>
    <n v="0.36922224289627209"/>
  </r>
  <r>
    <x v="1"/>
    <n v="9"/>
    <n v="8.8230302397159974"/>
    <n v="8.4600000000000009"/>
    <n v="8.2434310913085938"/>
    <n v="0.13179095494825394"/>
    <n v="4.6902092211787025E-2"/>
  </r>
  <r>
    <x v="1"/>
    <n v="10"/>
    <n v="9.2341957968971506"/>
    <n v="8.25"/>
    <n v="8.6784267425537109"/>
    <n v="0.96864136663001743"/>
    <n v="0.18354947373518371"/>
  </r>
  <r>
    <x v="1"/>
    <n v="11"/>
    <n v="9.5457946505945355"/>
    <n v="8.3000000000000007"/>
    <n v="8.6558742523193359"/>
    <n v="1.5520043114499589"/>
    <n v="0.12664648346384588"/>
  </r>
  <r>
    <x v="1"/>
    <n v="12"/>
    <n v="9.4652137377313963"/>
    <n v="9"/>
    <n v="8.5821733474731445"/>
    <n v="0.21642382177401637"/>
    <n v="0.17457911156179762"/>
  </r>
  <r>
    <x v="1"/>
    <n v="13"/>
    <n v="9.8378279948737113"/>
    <n v="9.34"/>
    <n v="8.7420778274536133"/>
    <n v="0.24783271247998007"/>
    <n v="0.35751092442259086"/>
  </r>
  <r>
    <x v="1"/>
    <n v="14"/>
    <n v="10.860266443783486"/>
    <n v="10.08"/>
    <n v="9.5973405838012695"/>
    <n v="0.60881572329452738"/>
    <n v="0.2329601120452994"/>
  </r>
  <r>
    <x v="1"/>
    <n v="15"/>
    <n v="12.299183572654206"/>
    <n v="11.59"/>
    <n v="11.214948654174799"/>
    <n v="0.5029413397225837"/>
    <n v="0.14066351200529414"/>
  </r>
  <r>
    <x v="1"/>
    <n v="16"/>
    <n v="14.564011579462264"/>
    <n v="14.07"/>
    <n v="13.630502700805661"/>
    <n v="0.24404744064280026"/>
    <n v="0.19315787599911902"/>
  </r>
  <r>
    <x v="1"/>
    <n v="17"/>
    <n v="16.735099056702197"/>
    <n v="15.51"/>
    <n v="15.492544174194339"/>
    <n v="1.5008676987326126"/>
    <n v="3.0470585455755596E-4"/>
  </r>
  <r>
    <x v="1"/>
    <n v="18"/>
    <n v="18.853024870907369"/>
    <n v="17.34"/>
    <n v="17.657634735107418"/>
    <n v="2.2892442599842608"/>
    <n v="0.1008918249467599"/>
  </r>
  <r>
    <x v="1"/>
    <n v="19"/>
    <n v="23.203088299802388"/>
    <n v="20.73"/>
    <n v="21.391889572143551"/>
    <n v="6.1161657386194657"/>
    <n v="0.43809780571237261"/>
  </r>
  <r>
    <x v="1"/>
    <n v="20"/>
    <n v="25.465134054537749"/>
    <n v="23.02"/>
    <n v="23.920366287231449"/>
    <n v="5.9786805446602154"/>
    <n v="0.81065945118294469"/>
  </r>
  <r>
    <x v="1"/>
    <n v="21"/>
    <n v="26.019182100188981"/>
    <n v="24.95"/>
    <n v="25.189571380615231"/>
    <n v="1.1431503633645226"/>
    <n v="5.7394446409888132E-2"/>
  </r>
  <r>
    <x v="1"/>
    <n v="22"/>
    <n v="22.32951722114764"/>
    <n v="21.48"/>
    <n v="21.845146179199219"/>
    <n v="0.72167950902640721"/>
    <n v="0.13333173218378766"/>
  </r>
  <r>
    <x v="1"/>
    <n v="23"/>
    <n v="14.625000895561303"/>
    <n v="14.61"/>
    <n v="14.40552806854248"/>
    <n v="2.2502686764114724E-4"/>
    <n v="4.1808770753968334E-2"/>
  </r>
  <r>
    <x v="1"/>
    <n v="24"/>
    <n v="8.4140809799768501"/>
    <n v="9.1"/>
    <n v="8.2598447799682617"/>
    <n v="0.47048490202951782"/>
    <n v="0.70586079374657795"/>
  </r>
  <r>
    <x v="1"/>
    <n v="25"/>
    <n v="5.1271147186589241"/>
    <n v="5.61"/>
    <n v="4.8412618637084961"/>
    <n v="0.23317819493585035"/>
    <n v="0.59095832218893529"/>
  </r>
  <r>
    <x v="1"/>
    <n v="26"/>
    <n v="3.138297924353024"/>
    <n v="3.61"/>
    <n v="3.243658065795898"/>
    <n v="0.22250284816966534"/>
    <n v="0.13420641275640252"/>
  </r>
  <r>
    <x v="1"/>
    <n v="27"/>
    <n v="2.2563622332388662"/>
    <n v="2.13"/>
    <n v="2.1767430305480961"/>
    <n v="1.5967413989113648E-2"/>
    <n v="2.1849109048202595E-3"/>
  </r>
  <r>
    <x v="1"/>
    <n v="28"/>
    <n v="1.9328322995533846"/>
    <n v="1.81"/>
    <n v="1.7897646427154541"/>
    <n v="1.5087773813572404E-2"/>
    <n v="4.0946968443322692E-4"/>
  </r>
  <r>
    <x v="1"/>
    <n v="29"/>
    <n v="2.408628545444933"/>
    <n v="2.2400000000000002"/>
    <n v="2.2463042736053471"/>
    <n v="2.8435586338873758E-2"/>
    <n v="3.9743865691073733E-5"/>
  </r>
  <r>
    <x v="2"/>
    <n v="6"/>
    <n v="4.1481828760688071"/>
    <n v="3.77"/>
    <n v="3.5762333869934082"/>
    <n v="0.14302228775167469"/>
    <n v="3.7545500316046317E-2"/>
  </r>
  <r>
    <x v="2"/>
    <n v="7"/>
    <n v="6.0990853265426823"/>
    <n v="5.21"/>
    <n v="5.4357414245605469"/>
    <n v="0.79047271787350815"/>
    <n v="5.095919076262509E-2"/>
  </r>
  <r>
    <x v="2"/>
    <n v="8"/>
    <n v="7.8196779307077389"/>
    <n v="6.89"/>
    <n v="7.2701311111450204"/>
    <n v="0.86430105484502395"/>
    <n v="0.14449966166034811"/>
  </r>
  <r>
    <x v="2"/>
    <n v="9"/>
    <n v="8.9939541552565316"/>
    <n v="8.2799999999999994"/>
    <n v="8.3230962753295898"/>
    <n v="0.5097305358080686"/>
    <n v="1.8572889472838693E-3"/>
  </r>
  <r>
    <x v="2"/>
    <n v="10"/>
    <n v="9.3319638919825447"/>
    <n v="8.75"/>
    <n v="8.5220499038696289"/>
    <n v="0.33868197157147101"/>
    <n v="5.1961246325845423E-2"/>
  </r>
  <r>
    <x v="2"/>
    <n v="11"/>
    <n v="9.4466121624266552"/>
    <n v="8.58"/>
    <n v="8.3393688201904297"/>
    <n v="0.75101664006580338"/>
    <n v="5.7903364696545792E-2"/>
  </r>
  <r>
    <x v="2"/>
    <n v="12"/>
    <n v="9.3772731200747241"/>
    <n v="8.64"/>
    <n v="8.4861431121826172"/>
    <n v="0.54357165358471771"/>
    <n v="2.3671941928850894E-2"/>
  </r>
  <r>
    <x v="2"/>
    <n v="13"/>
    <n v="9.3368856611682745"/>
    <n v="8.61"/>
    <n v="8.6461267471313477"/>
    <n v="0.52836276441204033"/>
    <n v="1.3051418582923772E-3"/>
  </r>
  <r>
    <x v="2"/>
    <n v="14"/>
    <n v="10.335111649522604"/>
    <n v="10.45"/>
    <n v="9.3915567398071289"/>
    <n v="1.3199333075416795E-2"/>
    <n v="1.1203021350477123"/>
  </r>
  <r>
    <x v="2"/>
    <n v="15"/>
    <n v="12.012011971530907"/>
    <n v="12.17"/>
    <n v="10.82655239105225"/>
    <n v="2.4960217139551041E-2"/>
    <n v="1.8048514779874274"/>
  </r>
  <r>
    <x v="2"/>
    <n v="16"/>
    <n v="14.417436187359211"/>
    <n v="14.81"/>
    <n v="12.843845367431641"/>
    <n v="0.15410634699507275"/>
    <n v="3.8657640391700223"/>
  </r>
  <r>
    <x v="2"/>
    <n v="17"/>
    <n v="16.752691897969871"/>
    <n v="16.649999999999999"/>
    <n v="15.14400482177734"/>
    <n v="1.0545625908654759E-2"/>
    <n v="2.2680214768298965"/>
  </r>
  <r>
    <x v="2"/>
    <n v="18"/>
    <n v="19.005712083382807"/>
    <n v="18.87"/>
    <n v="16.898406982421879"/>
    <n v="1.8417769576101761E-2"/>
    <n v="3.8871790269628068"/>
  </r>
  <r>
    <x v="2"/>
    <n v="19"/>
    <n v="23.040073301338275"/>
    <n v="22.16"/>
    <n v="19.984315872192379"/>
    <n v="0.77452901572844957"/>
    <n v="4.7336014239940081"/>
  </r>
  <r>
    <x v="2"/>
    <n v="20"/>
    <n v="25.402677923764681"/>
    <n v="24.39"/>
    <n v="22.268404006958011"/>
    <n v="1.0255165772803447"/>
    <n v="4.5011695576918243"/>
  </r>
  <r>
    <x v="2"/>
    <n v="21"/>
    <n v="25.969227986949551"/>
    <n v="24.13"/>
    <n v="23.930877685546879"/>
    <n v="3.3827595879785033"/>
    <n v="3.9649696113167383E-2"/>
  </r>
  <r>
    <x v="2"/>
    <n v="22"/>
    <n v="22.622195994791628"/>
    <n v="21.07"/>
    <n v="21.823396682739261"/>
    <n v="2.4093124062471714"/>
    <n v="0.56760656156252287"/>
  </r>
  <r>
    <x v="2"/>
    <n v="23"/>
    <n v="14.865480035917715"/>
    <n v="13.95"/>
    <n v="15.09261322021484"/>
    <n v="0.83810369616390179"/>
    <n v="1.3055649710097286"/>
  </r>
  <r>
    <x v="2"/>
    <n v="24"/>
    <n v="8.2528916891726993"/>
    <n v="7.97"/>
    <n v="8.939356803894043"/>
    <n v="8.0027707802983267E-2"/>
    <n v="0.93965261325567451"/>
  </r>
  <r>
    <x v="2"/>
    <n v="25"/>
    <n v="4.9175686406135233"/>
    <n v="4.3600000000000003"/>
    <n v="5.1089773178100586"/>
    <n v="0.31088278899561195"/>
    <n v="0.56096702259394904"/>
  </r>
  <r>
    <x v="2"/>
    <n v="26"/>
    <n v="3.2553040791956822"/>
    <n v="2.88"/>
    <n v="3.3531794548034668"/>
    <n v="0.14085315186091898"/>
    <n v="0.22389879644810617"/>
  </r>
  <r>
    <x v="2"/>
    <n v="27"/>
    <n v="2.2274345122999057"/>
    <n v="1.83"/>
    <n v="2.3720753192901611"/>
    <n v="0.15795419156706386"/>
    <n v="0.29384565178353006"/>
  </r>
  <r>
    <x v="2"/>
    <n v="28"/>
    <n v="1.9288025672832814"/>
    <n v="1.81"/>
    <n v="1.8836696147918699"/>
    <n v="1.4114049993098583E-2"/>
    <n v="5.4272121435824877E-3"/>
  </r>
  <r>
    <x v="2"/>
    <n v="29"/>
    <n v="2.3809960955927929"/>
    <n v="2.17"/>
    <n v="2.312227725982666"/>
    <n v="4.4519352355403032E-2"/>
    <n v="2.0228726038200352E-2"/>
  </r>
  <r>
    <x v="3"/>
    <n v="6"/>
    <n v="4.2070143854174953"/>
    <n v="3.82"/>
    <n v="3.7488222122192378"/>
    <n v="0.14978013452008171"/>
    <n v="5.0662774733631925E-3"/>
  </r>
  <r>
    <x v="3"/>
    <n v="7"/>
    <n v="6.2188955665913577"/>
    <n v="6.08"/>
    <n v="5.9757876396179199"/>
    <n v="1.9291978418734253E-2"/>
    <n v="1.0860216056404548E-2"/>
  </r>
  <r>
    <x v="3"/>
    <n v="8"/>
    <n v="7.8073916114405728"/>
    <n v="7.47"/>
    <n v="8.4233846664428711"/>
    <n v="0.11383309947046663"/>
    <n v="0.908942322208385"/>
  </r>
  <r>
    <x v="3"/>
    <n v="9"/>
    <n v="8.6948337866961616"/>
    <n v="8.57"/>
    <n v="8.8108787536621094"/>
    <n v="1.5583474300902697E-2"/>
    <n v="5.8022573965811036E-2"/>
  </r>
  <r>
    <x v="3"/>
    <n v="10"/>
    <n v="9.0884235154160944"/>
    <n v="8.92"/>
    <n v="8.5488986968994141"/>
    <n v="2.8366480545115407E-2"/>
    <n v="0.1377161771629529"/>
  </r>
  <r>
    <x v="3"/>
    <n v="11"/>
    <n v="9.0758436820587711"/>
    <n v="8.91"/>
    <n v="8.4451942443847656"/>
    <n v="2.7504126878810715E-2"/>
    <n v="0.2160443904530491"/>
  </r>
  <r>
    <x v="3"/>
    <n v="12"/>
    <n v="9.1968703547033623"/>
    <n v="9"/>
    <n v="8.434147834777832"/>
    <n v="3.8757936561027703E-2"/>
    <n v="0.32018867288661568"/>
  </r>
  <r>
    <x v="3"/>
    <n v="13"/>
    <n v="9.44008046627828"/>
    <n v="9.6300000000000008"/>
    <n v="8.5750064849853516"/>
    <n v="3.6069429289075833E-2"/>
    <n v="1.1130113167229649"/>
  </r>
  <r>
    <x v="3"/>
    <n v="14"/>
    <n v="10.386235760323997"/>
    <n v="10.61"/>
    <n v="9.5854902267456055"/>
    <n v="5.0070434957779568E-2"/>
    <n v="1.0496202754937698"/>
  </r>
  <r>
    <x v="3"/>
    <n v="15"/>
    <n v="12.194196396817791"/>
    <n v="12.57"/>
    <n v="11.11701679229736"/>
    <n v="0.14122834816473151"/>
    <n v="2.1111602018658546"/>
  </r>
  <r>
    <x v="3"/>
    <n v="16"/>
    <n v="14.442741838347191"/>
    <n v="14.75"/>
    <n v="13.40676212310791"/>
    <n v="9.4407577902263951E-2"/>
    <n v="1.8042879939175691"/>
  </r>
  <r>
    <x v="3"/>
    <n v="17"/>
    <n v="16.769143434737707"/>
    <n v="17.579999999999998"/>
    <n v="15.2055721282959"/>
    <n v="0.65748836942896072"/>
    <n v="5.6379077179252528"/>
  </r>
  <r>
    <x v="3"/>
    <n v="18"/>
    <n v="18.793820619968542"/>
    <n v="20.7"/>
    <n v="17.570522308349609"/>
    <n v="3.6335198288571089"/>
    <n v="9.793630622537453"/>
  </r>
  <r>
    <x v="3"/>
    <n v="19"/>
    <n v="22.297694239535119"/>
    <n v="24.07"/>
    <n v="20.53627777099609"/>
    <n v="3.141067708577002"/>
    <n v="12.487192791756362"/>
  </r>
  <r>
    <x v="3"/>
    <n v="20"/>
    <n v="25.054129199001189"/>
    <n v="25.85"/>
    <n v="23.09141731262207"/>
    <n v="0.63341033188249207"/>
    <n v="7.6097784431012485"/>
  </r>
  <r>
    <x v="3"/>
    <n v="21"/>
    <n v="25.935685131096356"/>
    <n v="26.16"/>
    <n v="24.460712432861332"/>
    <n v="5.0317160411258915E-2"/>
    <n v="2.8875782358320548"/>
  </r>
  <r>
    <x v="3"/>
    <n v="22"/>
    <n v="23.107032791347766"/>
    <n v="22.43"/>
    <n v="21.599128723144531"/>
    <n v="0.45837340056014836"/>
    <n v="0.69034707870343648"/>
  </r>
  <r>
    <x v="3"/>
    <n v="23"/>
    <n v="14.743210435107926"/>
    <n v="14.25"/>
    <n v="15.1032600402832"/>
    <n v="0.24325653329934974"/>
    <n v="0.72805269634408731"/>
  </r>
  <r>
    <x v="3"/>
    <n v="24"/>
    <n v="8.7543112755417187"/>
    <n v="8.08"/>
    <n v="8.4151411056518555"/>
    <n v="0.45469569632269963"/>
    <n v="0.1123195606975481"/>
  </r>
  <r>
    <x v="3"/>
    <n v="25"/>
    <n v="5.4195581462607452"/>
    <n v="5.14"/>
    <n v="4.8435988426208496"/>
    <n v="7.8152757140744364E-2"/>
    <n v="8.7853646095699692E-2"/>
  </r>
  <r>
    <x v="3"/>
    <n v="26"/>
    <n v="3.1594540187710698"/>
    <n v="3.6"/>
    <n v="3.1765260696411128"/>
    <n v="0.194080761576961"/>
    <n v="0.17933016969360369"/>
  </r>
  <r>
    <x v="3"/>
    <n v="27"/>
    <n v="2.0537242676565008"/>
    <n v="2.27"/>
    <n v="2.1897866725921631"/>
    <n v="4.677519240071689E-2"/>
    <n v="6.4341778938368432E-3"/>
  </r>
  <r>
    <x v="3"/>
    <n v="28"/>
    <n v="1.695941609675137"/>
    <n v="1.68"/>
    <n v="1.707295894622803"/>
    <n v="2.5413491903442239E-4"/>
    <n v="7.4506586325916678E-4"/>
  </r>
  <r>
    <x v="3"/>
    <n v="29"/>
    <n v="2.1485668950135879"/>
    <n v="2.29"/>
    <n v="2.1623833179473881"/>
    <n v="2.0003323186097481E-2"/>
    <n v="1.6286017538117436E-2"/>
  </r>
  <r>
    <x v="4"/>
    <n v="6"/>
    <n v="3.8538836248418011"/>
    <n v="3.99"/>
    <n v="3.6578273773193359"/>
    <n v="1.8527667586207594E-2"/>
    <n v="0.11033865125855095"/>
  </r>
  <r>
    <x v="4"/>
    <n v="7"/>
    <n v="5.9121963437802068"/>
    <n v="5.76"/>
    <n v="5.4320011138916016"/>
    <n v="2.3163727060062943E-2"/>
    <n v="0.10758326928834999"/>
  </r>
  <r>
    <x v="4"/>
    <n v="8"/>
    <n v="7.6410345846906509"/>
    <n v="7.63"/>
    <n v="7.1904764175415039"/>
    <n v="1.2176205929514931E-4"/>
    <n v="0.19318097953715033"/>
  </r>
  <r>
    <x v="4"/>
    <n v="9"/>
    <n v="8.8721222551125489"/>
    <n v="9.16"/>
    <n v="7.9911298751831046"/>
    <n v="8.2873596001484445E-2"/>
    <n v="1.366257368689465"/>
  </r>
  <r>
    <x v="4"/>
    <n v="10"/>
    <n v="9.2875403168435575"/>
    <n v="9.57"/>
    <n v="7.5630950927734384"/>
    <n v="7.978347260883803E-2"/>
    <n v="4.0276673066500548"/>
  </r>
  <r>
    <x v="4"/>
    <n v="11"/>
    <n v="9.2414630005389"/>
    <n v="9.5500000000000007"/>
    <n v="7.4727191925048828"/>
    <n v="9.5195080036459254E-2"/>
    <n v="4.315095553187569"/>
  </r>
  <r>
    <x v="4"/>
    <n v="12"/>
    <n v="8.9557547508504687"/>
    <n v="10.19"/>
    <n v="7.3931436538696289"/>
    <n v="1.5233613350481874"/>
    <n v="7.8224054208897273"/>
  </r>
  <r>
    <x v="4"/>
    <n v="13"/>
    <n v="9.1485861529404886"/>
    <n v="11.03"/>
    <n v="7.529576301574707"/>
    <n v="3.5397180639072681"/>
    <n v="12.252966068497402"/>
  </r>
  <r>
    <x v="4"/>
    <n v="14"/>
    <n v="10.700259279304493"/>
    <n v="12.1"/>
    <n v="8.9292526245117188"/>
    <n v="1.9592740851731756"/>
    <n v="10.053638919165822"/>
  </r>
  <r>
    <x v="4"/>
    <n v="15"/>
    <n v="12.510430483427553"/>
    <n v="13.27"/>
    <n v="10.64139366149902"/>
    <n v="0.57694585050609948"/>
    <n v="6.9095712828075273"/>
  </r>
  <r>
    <x v="4"/>
    <n v="16"/>
    <n v="14.7636011397154"/>
    <n v="15.5"/>
    <n v="12.946131706237789"/>
    <n v="0.54228328142845827"/>
    <n v="6.5222432618839044"/>
  </r>
  <r>
    <x v="4"/>
    <n v="17"/>
    <n v="16.617291574651723"/>
    <n v="16.96"/>
    <n v="14.948770523071291"/>
    <n v="0.1174490648046959"/>
    <n v="4.0450440088669328"/>
  </r>
  <r>
    <x v="4"/>
    <n v="18"/>
    <n v="18.608787851658445"/>
    <n v="19.29"/>
    <n v="17.071897506713871"/>
    <n v="0.46404999104811606"/>
    <n v="4.9199786707221396"/>
  </r>
  <r>
    <x v="4"/>
    <n v="19"/>
    <n v="22.409229699910444"/>
    <n v="23.67"/>
    <n v="20.135969161987301"/>
    <n v="1.5895417495879132"/>
    <n v="12.48937396402475"/>
  </r>
  <r>
    <x v="4"/>
    <n v="20"/>
    <n v="25.078551048933388"/>
    <n v="25.11"/>
    <n v="22.869869232177731"/>
    <n v="9.8903652319011753E-4"/>
    <n v="5.0181858569439868"/>
  </r>
  <r>
    <x v="4"/>
    <n v="21"/>
    <n v="26.707433125477742"/>
    <n v="27.5"/>
    <n v="25.952960968017582"/>
    <n v="0.62816225058998076"/>
    <n v="2.3933297664770978"/>
  </r>
  <r>
    <x v="4"/>
    <n v="22"/>
    <n v="24.509457285452356"/>
    <n v="24.75"/>
    <n v="24.09340858459473"/>
    <n v="5.7860797521949225E-2"/>
    <n v="0.43111228678389568"/>
  </r>
  <r>
    <x v="4"/>
    <n v="23"/>
    <n v="15.446287858033108"/>
    <n v="15.92"/>
    <n v="16.141340255737301"/>
    <n v="0.22440319344686119"/>
    <n v="4.8991508809853902E-2"/>
  </r>
  <r>
    <x v="4"/>
    <n v="24"/>
    <n v="8.4860404848001334"/>
    <n v="9.32"/>
    <n v="9.6539306640625"/>
    <n v="0.69548847299239702"/>
    <n v="0.11150968840122204"/>
  </r>
  <r>
    <x v="4"/>
    <n v="25"/>
    <n v="4.9937017967165565"/>
    <n v="5.48"/>
    <n v="5.7834944725036621"/>
    <n v="0.23648594251670579"/>
    <n v="9.2108894840275859E-2"/>
  </r>
  <r>
    <x v="4"/>
    <n v="26"/>
    <n v="3.2907801150735612"/>
    <n v="3.41"/>
    <n v="3.656000137329102"/>
    <n v="1.4213380961873353E-2"/>
    <n v="6.0516067565936978E-2"/>
  </r>
  <r>
    <x v="4"/>
    <n v="27"/>
    <n v="2.3271703859849766"/>
    <n v="2.29"/>
    <n v="2.4994990825653081"/>
    <n v="1.3816375942721428E-3"/>
    <n v="4.3889865595705749E-2"/>
  </r>
  <r>
    <x v="4"/>
    <n v="28"/>
    <n v="2.0319899786172004"/>
    <n v="2.14"/>
    <n v="2.044582843780518"/>
    <n v="1.1666164719112847E-2"/>
    <n v="9.1044337010130517E-3"/>
  </r>
  <r>
    <x v="4"/>
    <n v="29"/>
    <n v="2.5355125815146837"/>
    <n v="2.76"/>
    <n v="2.5124566555023189"/>
    <n v="5.039460105820142E-2"/>
    <n v="6.1277707405097526E-2"/>
  </r>
  <r>
    <x v="5"/>
    <n v="6"/>
    <n v="3.9285107441603064"/>
    <n v="3.58"/>
    <n v="3.741362571716309"/>
    <n v="0.12145973879517051"/>
    <n v="2.6037879550900953E-2"/>
  </r>
  <r>
    <x v="5"/>
    <n v="7"/>
    <n v="5.9689020029386874"/>
    <n v="5.82"/>
    <n v="5.6317758560180664"/>
    <n v="2.21718064791528E-2"/>
    <n v="3.5428328377731778E-2"/>
  </r>
  <r>
    <x v="5"/>
    <n v="8"/>
    <n v="7.6931336260746761"/>
    <n v="7.55"/>
    <n v="7.4525375366210938"/>
    <n v="2.048723491328525E-2"/>
    <n v="9.498931767884607E-3"/>
  </r>
  <r>
    <x v="5"/>
    <n v="9"/>
    <n v="9.1817606645027166"/>
    <n v="9.01"/>
    <n v="8.4294214248657227"/>
    <n v="2.9501725870414826E-2"/>
    <n v="0.33707148190494746"/>
  </r>
  <r>
    <x v="5"/>
    <n v="10"/>
    <n v="9.4072264238344339"/>
    <n v="9.1300000000000008"/>
    <n v="8.5397148132324219"/>
    <n v="7.6854490072028728E-2"/>
    <n v="0.34843660171723551"/>
  </r>
  <r>
    <x v="5"/>
    <n v="11"/>
    <n v="9.2541339485083931"/>
    <n v="8.92"/>
    <n v="8.3007421493530273"/>
    <n v="0.11164549554580955"/>
    <n v="0.3834802855879082"/>
  </r>
  <r>
    <x v="5"/>
    <n v="12"/>
    <n v="9.1206373100240885"/>
    <n v="8.92"/>
    <n v="8.4563112258911133"/>
    <n v="4.0255330173702232E-2"/>
    <n v="0.21500727923460211"/>
  </r>
  <r>
    <x v="5"/>
    <n v="13"/>
    <n v="9.6962650172499938"/>
    <n v="8.91"/>
    <n v="8.5122947692871094"/>
    <n v="0.61821267735113283"/>
    <n v="0.15816945053639367"/>
  </r>
  <r>
    <x v="5"/>
    <n v="14"/>
    <n v="10.462972335576449"/>
    <n v="10.37"/>
    <n v="9.7060308456420898"/>
    <n v="8.6438551825399924E-3"/>
    <n v="0.4408550379387573"/>
  </r>
  <r>
    <x v="5"/>
    <n v="15"/>
    <n v="11.850848742510539"/>
    <n v="12.03"/>
    <n v="11.475682258605961"/>
    <n v="3.2095173060054813E-2"/>
    <n v="0.30726815842418848"/>
  </r>
  <r>
    <x v="5"/>
    <n v="16"/>
    <n v="13.619999276180129"/>
    <n v="13.67"/>
    <n v="12.959335327148439"/>
    <n v="2.5000723825109681E-3"/>
    <n v="0.50504427723921574"/>
  </r>
  <r>
    <x v="5"/>
    <n v="17"/>
    <n v="15.499334725678807"/>
    <n v="15.04"/>
    <n v="14.40296077728271"/>
    <n v="0.21098839021442564"/>
    <n v="0.40581897128024852"/>
  </r>
  <r>
    <x v="5"/>
    <n v="18"/>
    <n v="17.466163313962795"/>
    <n v="17.29"/>
    <n v="16.127153396606449"/>
    <n v="3.1033513186354656E-2"/>
    <n v="1.3522122230239169"/>
  </r>
  <r>
    <x v="5"/>
    <n v="19"/>
    <n v="20.387978014056252"/>
    <n v="19.940000000000001"/>
    <n v="19.168706893920898"/>
    <n v="0.20068430107778207"/>
    <n v="0.59489305548515015"/>
  </r>
  <r>
    <x v="5"/>
    <n v="20"/>
    <n v="22.883804146871793"/>
    <n v="21.73"/>
    <n v="21.366989135742191"/>
    <n v="1.3312640093385439"/>
    <n v="0.13177688756920169"/>
  </r>
  <r>
    <x v="5"/>
    <n v="21"/>
    <n v="25.59697762095939"/>
    <n v="25.32"/>
    <n v="24.105060577392582"/>
    <n v="7.6716602512323109E-2"/>
    <n v="1.4760778006056476"/>
  </r>
  <r>
    <x v="5"/>
    <n v="22"/>
    <n v="23.625267616826005"/>
    <n v="23.59"/>
    <n v="23.776374816894531"/>
    <n v="1.2438047965858867E-3"/>
    <n v="3.4735572372470103E-2"/>
  </r>
  <r>
    <x v="5"/>
    <n v="23"/>
    <n v="16.225332703061248"/>
    <n v="16.05"/>
    <n v="16.920785903930661"/>
    <n v="3.0741556762763585E-2"/>
    <n v="0.7582680904843363"/>
  </r>
  <r>
    <x v="5"/>
    <n v="24"/>
    <n v="10.27590292057557"/>
    <n v="10.06"/>
    <n v="10.38561916351318"/>
    <n v="4.6614071113060616E-2"/>
    <n v="0.10602783964702275"/>
  </r>
  <r>
    <x v="5"/>
    <n v="25"/>
    <n v="6.3040124200437191"/>
    <n v="6.15"/>
    <n v="5.9411191940307617"/>
    <n v="2.3719825527722855E-2"/>
    <n v="4.3631191102358718E-2"/>
  </r>
  <r>
    <x v="5"/>
    <n v="26"/>
    <n v="4.0182727189607474"/>
    <n v="3.68"/>
    <n v="3.5854859352111821"/>
    <n v="0.11442843239309672"/>
    <n v="8.9329084429049001E-3"/>
  </r>
  <r>
    <x v="5"/>
    <n v="27"/>
    <n v="2.6660456840740232"/>
    <n v="2.84"/>
    <n v="2.5686571598052979"/>
    <n v="3.0260104029274495E-2"/>
    <n v="7.3626936924927597E-2"/>
  </r>
  <r>
    <x v="5"/>
    <n v="28"/>
    <n v="2.1620772920441591"/>
    <n v="2.09"/>
    <n v="1.943936347961426"/>
    <n v="5.1951360284190218E-3"/>
    <n v="2.1334590446845582E-2"/>
  </r>
  <r>
    <x v="5"/>
    <n v="29"/>
    <n v="2.2587908665266512"/>
    <n v="2.06"/>
    <n v="2.1474506855010991"/>
    <n v="3.9517808614416824E-2"/>
    <n v="7.6476223946121309E-3"/>
  </r>
  <r>
    <x v="6"/>
    <n v="6"/>
    <n v="3.4903410438746207"/>
    <n v="3.33"/>
    <n v="3.3885045051574711"/>
    <n v="2.5709250350803032E-2"/>
    <n v="3.4227771237205599E-3"/>
  </r>
  <r>
    <x v="6"/>
    <n v="7"/>
    <n v="5.919879794922088"/>
    <n v="5.52"/>
    <n v="5.354184627532959"/>
    <n v="0.15990385038693153"/>
    <n v="2.7494737746383401E-2"/>
  </r>
  <r>
    <x v="6"/>
    <n v="8"/>
    <n v="9.4532382703407762"/>
    <n v="9.31"/>
    <n v="8.3495168685913086"/>
    <n v="2.0517202090217155E-2"/>
    <n v="0.9225278457206465"/>
  </r>
  <r>
    <x v="6"/>
    <n v="9"/>
    <n v="11.912422465414211"/>
    <n v="12.59"/>
    <n v="11.070064544677731"/>
    <n v="0.45911131537535527"/>
    <n v="2.3102037883457132"/>
  </r>
  <r>
    <x v="6"/>
    <n v="10"/>
    <n v="12.994670398600579"/>
    <n v="13.89"/>
    <n v="11.92933559417725"/>
    <n v="0.80161509514204643"/>
    <n v="3.844204912260281"/>
  </r>
  <r>
    <x v="6"/>
    <n v="11"/>
    <n v="13.016746793088004"/>
    <n v="14.09"/>
    <n v="11.641374588012701"/>
    <n v="1.1518724461468841"/>
    <n v="5.9957664082299704"/>
  </r>
  <r>
    <x v="6"/>
    <n v="12"/>
    <n v="12.413591942509926"/>
    <n v="13.65"/>
    <n v="11.57317638397217"/>
    <n v="1.528704884626378"/>
    <n v="4.3131963320909144"/>
  </r>
  <r>
    <x v="6"/>
    <n v="13"/>
    <n v="12.730697272927291"/>
    <n v="14.1"/>
    <n v="11.92072868347168"/>
    <n v="1.8749899583687577"/>
    <n v="4.7492234710430772"/>
  </r>
  <r>
    <x v="6"/>
    <n v="14"/>
    <n v="14.066952416561191"/>
    <n v="14.07"/>
    <n v="12.749696731567379"/>
    <n v="9.2877648165019319E-6"/>
    <n v="1.7432007206338618"/>
  </r>
  <r>
    <x v="6"/>
    <n v="15"/>
    <n v="14.943574503950407"/>
    <n v="14.89"/>
    <n v="13.90357685089111"/>
    <n v="2.8702274735320768E-3"/>
    <n v="0.97303062909790106"/>
  </r>
  <r>
    <x v="6"/>
    <n v="16"/>
    <n v="15.274618239093"/>
    <n v="16.03"/>
    <n v="14.976644515991209"/>
    <n v="0.570601604710962"/>
    <n v="1.1095577756913964"/>
  </r>
  <r>
    <x v="6"/>
    <n v="17"/>
    <n v="15.733813551972709"/>
    <n v="16.2"/>
    <n v="15.50699424743652"/>
    <n v="0.21732980432430149"/>
    <n v="0.48025697308607446"/>
  </r>
  <r>
    <x v="6"/>
    <n v="18"/>
    <n v="16.505895711660305"/>
    <n v="17.7"/>
    <n v="16.465463638305661"/>
    <n v="1.4258850514312484"/>
    <n v="1.5240800283454952"/>
  </r>
  <r>
    <x v="6"/>
    <n v="19"/>
    <n v="19.416513618273704"/>
    <n v="20.84"/>
    <n v="17.795408248901371"/>
    <n v="2.0263134789602208"/>
    <n v="9.2695389308578164"/>
  </r>
  <r>
    <x v="6"/>
    <n v="20"/>
    <n v="22.289766018812216"/>
    <n v="22.71"/>
    <n v="19.59576416015625"/>
    <n v="0.17659659894493554"/>
    <n v="9.6984648661673116"/>
  </r>
  <r>
    <x v="6"/>
    <n v="21"/>
    <n v="23.661487261140088"/>
    <n v="25.9"/>
    <n v="22.449274063110352"/>
    <n v="5.0109392820380965"/>
    <n v="11.907509491522932"/>
  </r>
  <r>
    <x v="6"/>
    <n v="22"/>
    <n v="22.387303466270932"/>
    <n v="24.81"/>
    <n v="23.335042953491211"/>
    <n v="5.8694584945428341"/>
    <n v="2.1754982890459265"/>
  </r>
  <r>
    <x v="6"/>
    <n v="23"/>
    <n v="18.102265027211089"/>
    <n v="18.48"/>
    <n v="17.920890808105469"/>
    <n v="0.14268370966783933"/>
    <n v="0.31260308846095625"/>
  </r>
  <r>
    <x v="6"/>
    <n v="24"/>
    <n v="11.886294753346501"/>
    <n v="12.38"/>
    <n v="12.432209968566889"/>
    <n v="0.24374487057319297"/>
    <n v="2.725880817755477E-3"/>
  </r>
  <r>
    <x v="6"/>
    <n v="25"/>
    <n v="7.3037940334218243"/>
    <n v="7.97"/>
    <n v="8.5473423004150391"/>
    <n v="0.44383038990436102"/>
    <n v="0.33332413184852949"/>
  </r>
  <r>
    <x v="6"/>
    <n v="26"/>
    <n v="4.6362069767544858"/>
    <n v="4.74"/>
    <n v="4.9568581581115723"/>
    <n v="1.0772991674443897E-2"/>
    <n v="4.7027460739543586E-2"/>
  </r>
  <r>
    <x v="6"/>
    <n v="27"/>
    <n v="3.1066357422307802"/>
    <n v="3.07"/>
    <n v="3.117002010345459"/>
    <n v="1.342177608800184E-3"/>
    <n v="2.2091889765146486E-3"/>
  </r>
  <r>
    <x v="6"/>
    <n v="28"/>
    <n v="2.2842825211102999"/>
    <n v="2.38"/>
    <n v="2.233852624893188"/>
    <n v="9.1618357650001554E-3"/>
    <n v="2.1359055250611172E-2"/>
  </r>
  <r>
    <x v="6"/>
    <n v="29"/>
    <n v="2.2062784178818609"/>
    <n v="2.34"/>
    <n v="2.170104026794434"/>
    <n v="1.7881461524178192E-2"/>
    <n v="2.8864641711466341E-2"/>
  </r>
  <r>
    <x v="7"/>
    <n v="6"/>
    <n v="3.2577507023596741"/>
    <n v="3.4"/>
    <n v="3.5153803825378418"/>
    <n v="2.0234862679165997E-2"/>
    <n v="1.3312632674578729E-2"/>
  </r>
  <r>
    <x v="7"/>
    <n v="7"/>
    <n v="5.7386265906471836"/>
    <n v="6.1"/>
    <n v="6.0424470901489258"/>
    <n v="0.13059074098727794"/>
    <n v="3.3123374323258351E-3"/>
  </r>
  <r>
    <x v="7"/>
    <n v="8"/>
    <n v="9.7869244129954449"/>
    <n v="10.83"/>
    <n v="9.7747077941894531"/>
    <n v="1.0880066802048973"/>
    <n v="1.1136416396444897"/>
  </r>
  <r>
    <x v="7"/>
    <n v="9"/>
    <n v="14.18393799571734"/>
    <n v="14.99"/>
    <n v="13.83109283447266"/>
    <n v="0.64973595474817947"/>
    <n v="1.3430658183106143"/>
  </r>
  <r>
    <x v="7"/>
    <n v="10"/>
    <n v="16.783403147953617"/>
    <n v="18.3"/>
    <n v="16.058233261108398"/>
    <n v="2.300066011637"/>
    <n v="5.0255181116006895"/>
  </r>
  <r>
    <x v="7"/>
    <n v="11"/>
    <n v="17.804076764367068"/>
    <n v="20.010000000000002"/>
    <n v="16.63393402099609"/>
    <n v="4.8660973215052721"/>
    <n v="11.397821494587639"/>
  </r>
  <r>
    <x v="7"/>
    <n v="12"/>
    <n v="17.753555435220733"/>
    <n v="19.989999999999998"/>
    <n v="16.523111343383789"/>
    <n v="5.0016842913307187"/>
    <n v="12.019316957374144"/>
  </r>
  <r>
    <x v="7"/>
    <n v="13"/>
    <n v="17.485080279485452"/>
    <n v="20.71"/>
    <n v="16.94687652587891"/>
    <n v="10.400107203763639"/>
    <n v="14.161098281481189"/>
  </r>
  <r>
    <x v="7"/>
    <n v="14"/>
    <n v="18.609289231438641"/>
    <n v="21.55"/>
    <n v="17.45248985290527"/>
    <n v="8.6477798243327424"/>
    <n v="16.789589405544284"/>
  </r>
  <r>
    <x v="7"/>
    <n v="15"/>
    <n v="19.200091157938758"/>
    <n v="22.38"/>
    <n v="17.479742050170898"/>
    <n v="10.111820243819265"/>
    <n v="24.0125279748633"/>
  </r>
  <r>
    <x v="7"/>
    <n v="16"/>
    <n v="19.102556957263261"/>
    <n v="22.69"/>
    <n v="17.790081024169918"/>
    <n v="12.869747584880244"/>
    <n v="24.009205969699728"/>
  </r>
  <r>
    <x v="7"/>
    <n v="17"/>
    <n v="19.686743214727944"/>
    <n v="22.42"/>
    <n v="17.848091125488281"/>
    <n v="7.4706926542357444"/>
    <n v="20.902350756839027"/>
  </r>
  <r>
    <x v="7"/>
    <n v="18"/>
    <n v="21.099383995808072"/>
    <n v="24.04"/>
    <n v="18.716033935546879"/>
    <n v="8.6472224841096956"/>
    <n v="28.344614655448449"/>
  </r>
  <r>
    <x v="7"/>
    <n v="19"/>
    <n v="25.627409355715383"/>
    <n v="28.99"/>
    <n v="22.335599899291989"/>
    <n v="11.307015841030427"/>
    <n v="44.281040700302768"/>
  </r>
  <r>
    <x v="7"/>
    <n v="20"/>
    <n v="28.519063088716692"/>
    <n v="31.49"/>
    <n v="26.23399543762207"/>
    <n v="8.8264661308255938"/>
    <n v="27.625583959737597"/>
  </r>
  <r>
    <x v="7"/>
    <n v="21"/>
    <n v="28.14257376311075"/>
    <n v="29.92"/>
    <n v="26.94295692443848"/>
    <n v="3.1592440275822855"/>
    <n v="8.8627854737488043"/>
  </r>
  <r>
    <x v="7"/>
    <n v="22"/>
    <n v="23.937322083514651"/>
    <n v="25.56"/>
    <n v="24.320747375488281"/>
    <n v="2.6330836206492285"/>
    <n v="1.5357470673591798"/>
  </r>
  <r>
    <x v="7"/>
    <n v="23"/>
    <n v="15.4933131454818"/>
    <n v="18.04"/>
    <n v="17.200628280639648"/>
    <n v="6.4856139349758015"/>
    <n v="0.7045448832619513"/>
  </r>
  <r>
    <x v="7"/>
    <n v="24"/>
    <n v="8.8289994847879001"/>
    <n v="9.84"/>
    <n v="9.9119682312011719"/>
    <n v="1.0221220417591312"/>
    <n v="5.1794263022253498E-3"/>
  </r>
  <r>
    <x v="7"/>
    <n v="25"/>
    <n v="5.4231561215019104"/>
    <n v="5.72"/>
    <n v="6.234158992767334"/>
    <n v="8.8116288201788434E-2"/>
    <n v="0.26435946984351966"/>
  </r>
  <r>
    <x v="7"/>
    <n v="26"/>
    <n v="3.2486838047519404"/>
    <n v="3.99"/>
    <n v="4.0436429977416992"/>
    <n v="0.54954970133705949"/>
    <n v="2.8775712067159245E-3"/>
  </r>
  <r>
    <x v="7"/>
    <n v="27"/>
    <n v="2.2739203524157467"/>
    <n v="2.4500000000000002"/>
    <n v="2.8849830627441411"/>
    <n v="3.1004042293394884E-2"/>
    <n v="0.1892102648742732"/>
  </r>
  <r>
    <x v="7"/>
    <n v="28"/>
    <n v="1.8929667338812863"/>
    <n v="2.0299999999999998"/>
    <n v="2.3458857536315918"/>
    <n v="1.8778116023162147E-2"/>
    <n v="9.9783809347398833E-2"/>
  </r>
  <r>
    <x v="7"/>
    <n v="29"/>
    <n v="2.3176717313483026"/>
    <n v="2.65"/>
    <n v="2.6270558834075932"/>
    <n v="0.11044207814503469"/>
    <n v="5.264324862059522E-4"/>
  </r>
  <r>
    <x v="8"/>
    <n v="6"/>
    <n v="4.0000849541166623"/>
    <n v="4.34"/>
    <n v="3.884922981262207"/>
    <n v="0.11554223841787147"/>
    <n v="0.20709509298327744"/>
  </r>
  <r>
    <x v="8"/>
    <n v="7"/>
    <n v="5.8069881202293026"/>
    <n v="6.23"/>
    <n v="5.5219368934631348"/>
    <n v="0.17893905042713934"/>
    <n v="0.50135336283863674"/>
  </r>
  <r>
    <x v="8"/>
    <n v="8"/>
    <n v="7.5676932842453946"/>
    <n v="7.91"/>
    <n v="7.3305788040161133"/>
    <n v="0.11717388765070434"/>
    <n v="0.33572892235539781"/>
  </r>
  <r>
    <x v="8"/>
    <n v="9"/>
    <n v="8.7615014692636617"/>
    <n v="9.01"/>
    <n v="8.4637660980224609"/>
    <n v="6.1751519778118769E-2"/>
    <n v="0.29837147566960753"/>
  </r>
  <r>
    <x v="8"/>
    <n v="10"/>
    <n v="9.1697996996309694"/>
    <n v="9.48"/>
    <n v="9.0126781463623047"/>
    <n v="9.6224226349037059E-2"/>
    <n v="0.21838971488737191"/>
  </r>
  <r>
    <x v="8"/>
    <n v="11"/>
    <n v="9.4792255703710868"/>
    <n v="10.37"/>
    <n v="9.0613088607788086"/>
    <n v="0.79347908448071425"/>
    <n v="1.7126724978760577"/>
  </r>
  <r>
    <x v="8"/>
    <n v="12"/>
    <n v="9.3992066010075952"/>
    <n v="10.97"/>
    <n v="8.8114748001098633"/>
    <n v="2.4673919023181141"/>
    <n v="4.6592310385607574"/>
  </r>
  <r>
    <x v="8"/>
    <n v="13"/>
    <n v="9.7692223748089173"/>
    <n v="11.49"/>
    <n v="9.0046358108520508"/>
    <n v="2.961075635358263"/>
    <n v="6.1770351526990446"/>
  </r>
  <r>
    <x v="8"/>
    <n v="14"/>
    <n v="10.784530690542741"/>
    <n v="11.79"/>
    <n v="9.8859052658081055"/>
    <n v="1.0109685322604547"/>
    <n v="3.6255767567772983"/>
  </r>
  <r>
    <x v="8"/>
    <n v="15"/>
    <n v="12.21341330753752"/>
    <n v="12.99"/>
    <n v="11.27695369720459"/>
    <n v="0.60308689090981482"/>
    <n v="2.9345276355210248"/>
  </r>
  <r>
    <x v="8"/>
    <n v="16"/>
    <n v="14.462447184805182"/>
    <n v="14.91"/>
    <n v="13.26984786987305"/>
    <n v="0.20030352238880716"/>
    <n v="2.6900990099599706"/>
  </r>
  <r>
    <x v="8"/>
    <n v="17"/>
    <n v="16.618394246633443"/>
    <n v="17.649999999999999"/>
    <n v="14.675703048706049"/>
    <n v="1.064210430378979"/>
    <n v="8.8464423544764816"/>
  </r>
  <r>
    <x v="8"/>
    <n v="18"/>
    <n v="18.915556079917014"/>
    <n v="21.34"/>
    <n v="17.618429183959961"/>
    <n v="5.8779283216273557"/>
    <n v="13.850089338800922"/>
  </r>
  <r>
    <x v="8"/>
    <n v="19"/>
    <n v="23.263824294071618"/>
    <n v="25.51"/>
    <n v="20.951641082763668"/>
    <n v="5.0453053019028715"/>
    <n v="20.778636018347996"/>
  </r>
  <r>
    <x v="8"/>
    <n v="20"/>
    <n v="25.252328784126579"/>
    <n v="26.16"/>
    <n v="23.51667404174805"/>
    <n v="0.82386703612513446"/>
    <n v="6.9871721215685882"/>
  </r>
  <r>
    <x v="8"/>
    <n v="21"/>
    <n v="25.801746799402824"/>
    <n v="27.27"/>
    <n v="25.630718231201168"/>
    <n v="2.1557674610638484"/>
    <n v="2.6872447175162248"/>
  </r>
  <r>
    <x v="8"/>
    <n v="22"/>
    <n v="22.158346401223927"/>
    <n v="24.15"/>
    <n v="23.55767822265625"/>
    <n v="3.9666840575176776"/>
    <n v="0.35084508791565727"/>
  </r>
  <r>
    <x v="8"/>
    <n v="23"/>
    <n v="14.523011182444648"/>
    <n v="15.28"/>
    <n v="15.503293991088871"/>
    <n v="0.57303206990384881"/>
    <n v="4.9860206456396973E-2"/>
  </r>
  <r>
    <x v="8"/>
    <n v="24"/>
    <n v="8.4140809799768501"/>
    <n v="9.6"/>
    <n v="9.8993129730224609"/>
    <n v="1.4064039220526674"/>
    <n v="8.9588255819544646E-2"/>
  </r>
  <r>
    <x v="8"/>
    <n v="25"/>
    <n v="5.1271147186589241"/>
    <n v="6.25"/>
    <n v="5.8147120475769043"/>
    <n v="1.2608713550524271"/>
    <n v="0.18947560152469123"/>
  </r>
  <r>
    <x v="8"/>
    <n v="26"/>
    <n v="3.138297924353024"/>
    <n v="4.08"/>
    <n v="3.613045215606689"/>
    <n v="0.88680279927782302"/>
    <n v="0.21804677066780362"/>
  </r>
  <r>
    <x v="8"/>
    <n v="27"/>
    <n v="2.2563622332388662"/>
    <n v="3.04"/>
    <n v="2.7068159580230708"/>
    <n v="0.61408814949437718"/>
    <n v="0.11101160582808411"/>
  </r>
  <r>
    <x v="8"/>
    <n v="28"/>
    <n v="1.9328322995533846"/>
    <n v="2.6"/>
    <n v="2.1617646217346191"/>
    <n v="0.44511274051922478"/>
    <n v="0.19205024676340152"/>
  </r>
  <r>
    <x v="8"/>
    <n v="29"/>
    <n v="2.408628545444933"/>
    <n v="2.7"/>
    <n v="2.3098850250244141"/>
    <n v="8.4897324529535578E-2"/>
    <n v="0.15218969370020219"/>
  </r>
  <r>
    <x v="9"/>
    <n v="6"/>
    <n v="4.1241431404320021"/>
    <n v="3.86"/>
    <n v="3.7288966178894039"/>
    <n v="6.9771598637280469E-2"/>
    <n v="1.7188096800836949E-2"/>
  </r>
  <r>
    <x v="9"/>
    <n v="7"/>
    <n v="6.063739633438777"/>
    <n v="5.6"/>
    <n v="5.431981086730957"/>
    <n v="0.21505444762193157"/>
    <n v="2.8230355216110063E-2"/>
  </r>
  <r>
    <x v="9"/>
    <n v="8"/>
    <n v="7.7743609820978632"/>
    <n v="7.31"/>
    <n v="7.0683135986328116"/>
    <n v="0.21563112169489237"/>
    <n v="5.8412316605821489E-2"/>
  </r>
  <r>
    <x v="9"/>
    <n v="9"/>
    <n v="8.9418319883508097"/>
    <n v="8.48"/>
    <n v="8.2281656265258789"/>
    <n v="0.21328878546406205"/>
    <n v="6.3420551663103314E-2"/>
  </r>
  <r>
    <x v="9"/>
    <n v="10"/>
    <n v="9.2778828758755427"/>
    <n v="8.7100000000000009"/>
    <n v="8.5653848648071289"/>
    <n v="0.32249096071267608"/>
    <n v="2.0913537326852631E-2"/>
  </r>
  <r>
    <x v="9"/>
    <n v="11"/>
    <n v="9.3918667315156199"/>
    <n v="8.9499999999999993"/>
    <n v="8.4629402160644531"/>
    <n v="0.19524620842029755"/>
    <n v="0.23722723312734093"/>
  </r>
  <r>
    <x v="9"/>
    <n v="12"/>
    <n v="9.3229295258949154"/>
    <n v="9.36"/>
    <n v="8.3389987945556641"/>
    <n v="1.3742200503757047E-3"/>
    <n v="1.0424434615187859"/>
  </r>
  <r>
    <x v="9"/>
    <n v="13"/>
    <n v="9.2827761222035239"/>
    <n v="9.09"/>
    <n v="8.5895576477050781"/>
    <n v="3.7162633291828027E-2"/>
    <n v="0.25044254797047455"/>
  </r>
  <r>
    <x v="9"/>
    <n v="14"/>
    <n v="10.275217146494606"/>
    <n v="10.210000000000001"/>
    <n v="9.5289325714111328"/>
    <n v="4.253276196898823E-3"/>
    <n v="0.46385284228465284"/>
  </r>
  <r>
    <x v="9"/>
    <n v="15"/>
    <n v="11.942399420472068"/>
    <n v="12.01"/>
    <n v="11.070248603820801"/>
    <n v="4.5698383525122552E-3"/>
    <n v="0.88313268662075384"/>
  </r>
  <r>
    <x v="9"/>
    <n v="16"/>
    <n v="14.333883613892853"/>
    <n v="13.73"/>
    <n v="13.574228286743161"/>
    <n v="0.36467541912829204"/>
    <n v="2.4264826650971155E-2"/>
  </r>
  <r>
    <x v="9"/>
    <n v="17"/>
    <n v="16.655605945767665"/>
    <n v="16.010000000000002"/>
    <n v="15.606096267700201"/>
    <n v="0.41680703721055867"/>
    <n v="0.16313822496570923"/>
  </r>
  <r>
    <x v="9"/>
    <n v="18"/>
    <n v="18.895569327452346"/>
    <n v="18"/>
    <n v="17.18259429931641"/>
    <n v="0.80204442027344769"/>
    <n v="0.66815207951003108"/>
  </r>
  <r>
    <x v="9"/>
    <n v="19"/>
    <n v="22.893283215885081"/>
    <n v="21.2"/>
    <n v="20.188264846801761"/>
    <n v="2.8672080491981236"/>
    <n v="1.0236080202170619"/>
  </r>
  <r>
    <x v="9"/>
    <n v="20"/>
    <n v="25.170455736657885"/>
    <n v="23.84"/>
    <n v="22.627048492431641"/>
    <n v="1.7701124672058768"/>
    <n v="1.4712513597123553"/>
  </r>
  <r>
    <x v="9"/>
    <n v="21"/>
    <n v="25.731826601997032"/>
    <n v="27.24"/>
    <n v="25.352472305297852"/>
    <n v="2.2745869984438154"/>
    <n v="3.5627607982676008"/>
  </r>
  <r>
    <x v="9"/>
    <n v="22"/>
    <n v="22.478068237914158"/>
    <n v="25.1"/>
    <n v="23.670099258422852"/>
    <n v="6.8745261650345757"/>
    <n v="2.0446161307628832"/>
  </r>
  <r>
    <x v="9"/>
    <n v="23"/>
    <n v="14.779330938625185"/>
    <n v="16.7"/>
    <n v="15.10922050476074"/>
    <n v="3.688969643322412"/>
    <n v="2.5305794024736712"/>
  </r>
  <r>
    <x v="9"/>
    <n v="24"/>
    <n v="8.2528916891726993"/>
    <n v="10.09"/>
    <n v="9.6685256958007813"/>
    <n v="3.3749669457107374"/>
    <n v="0.17764058910021546"/>
  </r>
  <r>
    <x v="9"/>
    <n v="25"/>
    <n v="4.9175686406135233"/>
    <n v="6"/>
    <n v="5.7461423873901367"/>
    <n v="1.1716576477832559"/>
    <n v="6.4443687479979417E-2"/>
  </r>
  <r>
    <x v="9"/>
    <n v="26"/>
    <n v="3.2553040791956822"/>
    <n v="4.17"/>
    <n v="3.644834041595459"/>
    <n v="0.83666862753605864"/>
    <n v="0.27579928386696001"/>
  </r>
  <r>
    <x v="9"/>
    <n v="27"/>
    <n v="2.2719832025459041"/>
    <n v="3.33"/>
    <n v="2.7517118453979492"/>
    <n v="1.1193995436950215"/>
    <n v="0.33441718975304546"/>
  </r>
  <r>
    <x v="9"/>
    <n v="28"/>
    <n v="1.967378618628947"/>
    <n v="2.5"/>
    <n v="2.3093528747558589"/>
    <n v="0.28368553589360868"/>
    <n v="3.6346326363855208E-2"/>
  </r>
  <r>
    <x v="9"/>
    <n v="29"/>
    <n v="2.3809960955927929"/>
    <n v="2.39"/>
    <n v="2.5312986373901372"/>
    <n v="8.1070294574125585E-5"/>
    <n v="1.9965304928309432E-2"/>
  </r>
  <r>
    <x v="10"/>
    <n v="6"/>
    <n v="4.1873235856668458"/>
    <n v="4.03"/>
    <n v="4.141474723815918"/>
    <n v="2.4750710607073297E-2"/>
    <n v="1.2426614049835133E-2"/>
  </r>
  <r>
    <x v="10"/>
    <n v="7"/>
    <n v="6.1285031877797316"/>
    <n v="5.85"/>
    <n v="6.0143351554870614"/>
    <n v="7.7564025603472628E-2"/>
    <n v="2.7006043328956775E-2"/>
  </r>
  <r>
    <x v="10"/>
    <n v="8"/>
    <n v="7.6939102557054326"/>
    <n v="7.06"/>
    <n v="7.5890789031982422"/>
    <n v="0.40184221228852746"/>
    <n v="0.27992448580945534"/>
  </r>
  <r>
    <x v="10"/>
    <n v="9"/>
    <n v="8.6541378880673232"/>
    <n v="8.67"/>
    <n v="8.4752483367919922"/>
    <n v="2.5160659496476536E-4"/>
    <n v="3.7928210322285279E-2"/>
  </r>
  <r>
    <x v="10"/>
    <n v="10"/>
    <n v="9.0458854323252762"/>
    <n v="9.0500000000000007"/>
    <n v="8.7138080596923828"/>
    <n v="1.6929667149887875E-5"/>
    <n v="0.11302502072780092"/>
  </r>
  <r>
    <x v="10"/>
    <n v="11"/>
    <n v="9.0333644784860248"/>
    <n v="9.4"/>
    <n v="8.5356330871582031"/>
    <n v="0.13442160563582486"/>
    <n v="0.74713016001565913"/>
  </r>
  <r>
    <x v="10"/>
    <n v="12"/>
    <n v="9.1538246895601993"/>
    <n v="9.16"/>
    <n v="8.3438854217529297"/>
    <n v="3.8134459027912704E-5"/>
    <n v="0.66604300482739365"/>
  </r>
  <r>
    <x v="10"/>
    <n v="13"/>
    <n v="9.395896463785725"/>
    <n v="9.32"/>
    <n v="8.6299686431884766"/>
    <n v="5.7602732151778172E-3"/>
    <n v="0.47614327338315238"/>
  </r>
  <r>
    <x v="10"/>
    <n v="14"/>
    <n v="10.33762330745755"/>
    <n v="10.07"/>
    <n v="9.4581127166748047"/>
    <n v="7.1622234694518117E-2"/>
    <n v="0.37440604749508821"/>
  </r>
  <r>
    <x v="10"/>
    <n v="15"/>
    <n v="12.137121840523873"/>
    <n v="11.34"/>
    <n v="11.11449146270752"/>
    <n v="0.63540322864016741"/>
    <n v="5.0854100391793992E-2"/>
  </r>
  <r>
    <x v="10"/>
    <n v="16"/>
    <n v="14.37514303517338"/>
    <n v="13.73"/>
    <n v="13.01873207092285"/>
    <n v="0.41620953583272075"/>
    <n v="0.50590206693369855"/>
  </r>
  <r>
    <x v="10"/>
    <n v="17"/>
    <n v="16.690655981376988"/>
    <n v="15.47"/>
    <n v="14.618289947509769"/>
    <n v="1.4900010248714164"/>
    <n v="0.72541001351291279"/>
  </r>
  <r>
    <x v="10"/>
    <n v="18"/>
    <n v="18.705856728126346"/>
    <n v="17.03"/>
    <n v="16.56418418884277"/>
    <n v="2.8084957732063369"/>
    <n v="0.21698436992406933"/>
  </r>
  <r>
    <x v="10"/>
    <n v="19"/>
    <n v="22.182947916732914"/>
    <n v="21.88"/>
    <n v="20.61696624755859"/>
    <n v="9.1777440252813189E-2"/>
    <n v="1.595254259806226"/>
  </r>
  <r>
    <x v="10"/>
    <n v="20"/>
    <n v="24.801730734153981"/>
    <n v="24.49"/>
    <n v="23.994083404541019"/>
    <n v="9.7176050616181092E-2"/>
    <n v="0.24593326965162488"/>
  </r>
  <r>
    <x v="10"/>
    <n v="21"/>
    <n v="25.674405760344555"/>
    <n v="25.62"/>
    <n v="24.74306678771973"/>
    <n v="2.9599867586690954E-3"/>
    <n v="0.76901185880019463"/>
  </r>
  <r>
    <x v="10"/>
    <n v="22"/>
    <n v="22.988121525671879"/>
    <n v="24.43"/>
    <n v="23.717681884765621"/>
    <n v="2.0790135347307892"/>
    <n v="0.50739709729105698"/>
  </r>
  <r>
    <x v="10"/>
    <n v="23"/>
    <n v="14.674205298028845"/>
    <n v="17.84"/>
    <n v="16.937637329101559"/>
    <n v="10.022256095028634"/>
    <n v="0.81425838983096799"/>
  </r>
  <r>
    <x v="10"/>
    <n v="24"/>
    <n v="8.7543112755417187"/>
    <n v="10.11"/>
    <n v="9.4666881561279297"/>
    <n v="1.8378919176233202"/>
    <n v="0.41385012846608221"/>
  </r>
  <r>
    <x v="10"/>
    <n v="25"/>
    <n v="5.4195581462607452"/>
    <n v="5.87"/>
    <n v="5.7090725898742676"/>
    <n v="0.20289786360005635"/>
    <n v="2.5897631329775721E-2"/>
  </r>
  <r>
    <x v="10"/>
    <n v="26"/>
    <n v="3.1594540187710698"/>
    <n v="3.77"/>
    <n v="3.7737774848937988"/>
    <n v="0.37276639519479721"/>
    <n v="1.426939212287821E-5"/>
  </r>
  <r>
    <x v="10"/>
    <n v="27"/>
    <n v="2.0537242676565008"/>
    <n v="2.48"/>
    <n v="2.624930858612061"/>
    <n v="0.18171099998498652"/>
    <n v="2.1004953778029217E-2"/>
  </r>
  <r>
    <x v="10"/>
    <n v="28"/>
    <n v="1.695941609675137"/>
    <n v="2.09"/>
    <n v="2.1073827743530269"/>
    <n v="0.15528201498542199"/>
    <n v="3.0216084420825467E-4"/>
  </r>
  <r>
    <x v="10"/>
    <n v="29"/>
    <n v="2.1485668950135879"/>
    <n v="2.64"/>
    <n v="2.5514354705810551"/>
    <n v="0.24150649667658608"/>
    <n v="7.8436758711991732E-3"/>
  </r>
  <r>
    <x v="11"/>
    <n v="6"/>
    <n v="3.834680828189128"/>
    <n v="3.96"/>
    <n v="3.9203262329101558"/>
    <n v="1.5704894823362837E-2"/>
    <n v="1.5740077950992014E-3"/>
  </r>
  <r>
    <x v="11"/>
    <n v="7"/>
    <n v="5.8827375652565186"/>
    <n v="5.59"/>
    <n v="5.5774636268615723"/>
    <n v="8.5695282112314558E-2"/>
    <n v="1.5716065146588888E-4"/>
  </r>
  <r>
    <x v="11"/>
    <n v="8"/>
    <n v="7.6029615011133336"/>
    <n v="7.14"/>
    <n v="7.538386344909668"/>
    <n v="0.21433335151311148"/>
    <n v="0.15871167981048517"/>
  </r>
  <r>
    <x v="11"/>
    <n v="9"/>
    <n v="8.8279150147993235"/>
    <n v="8.09"/>
    <n v="8.4118432998657227"/>
    <n v="0.54451856906628604"/>
    <n v="0.10358310966845756"/>
  </r>
  <r>
    <x v="11"/>
    <n v="10"/>
    <n v="9.2412631674874532"/>
    <n v="9.5"/>
    <n v="8.4677267074584961"/>
    <n v="6.6944748498625667E-2"/>
    <n v="1.0655881504944773"/>
  </r>
  <r>
    <x v="11"/>
    <n v="11"/>
    <n v="9.1954154412331022"/>
    <n v="8.8800000000000008"/>
    <n v="8.1374044418334961"/>
    <n v="9.948690056827203E-2"/>
    <n v="0.55144816300862265"/>
  </r>
  <r>
    <x v="11"/>
    <n v="12"/>
    <n v="8.9111307938001687"/>
    <n v="9.59"/>
    <n v="7.7448663711547852"/>
    <n v="0.46086339912638885"/>
    <n v="3.4045181082955107"/>
  </r>
  <r>
    <x v="11"/>
    <n v="13"/>
    <n v="9.1030013723254299"/>
    <n v="9.64"/>
    <n v="7.8554611206054688"/>
    <n v="0.28836752612437211"/>
    <n v="3.1845790120706914"/>
  </r>
  <r>
    <x v="11"/>
    <n v="14"/>
    <n v="10.541527679785606"/>
    <n v="10.14"/>
    <n v="8.9325227737426758"/>
    <n v="0.1612244776340116"/>
    <n v="1.4580012519300827"/>
  </r>
  <r>
    <x v="11"/>
    <n v="15"/>
    <n v="12.324846135472074"/>
    <n v="11.91"/>
    <n v="10.56060791015625"/>
    <n v="0.17209731611611387"/>
    <n v="1.8208590121328834"/>
  </r>
  <r>
    <x v="11"/>
    <n v="16"/>
    <n v="14.690038350034961"/>
    <n v="14.07"/>
    <n v="13.121303558349609"/>
    <n v="0.38444755551407583"/>
    <n v="0.90002493840011355"/>
  </r>
  <r>
    <x v="11"/>
    <n v="17"/>
    <n v="16.534492377247492"/>
    <n v="15.59"/>
    <n v="14.816158294677731"/>
    <n v="0.89206585067861921"/>
    <n v="0.59883098489607745"/>
  </r>
  <r>
    <x v="11"/>
    <n v="18"/>
    <n v="18.51606559954768"/>
    <n v="18.3"/>
    <n v="18.710458755493161"/>
    <n v="4.6684343307898182E-2"/>
    <n v="0.16847638996099354"/>
  </r>
  <r>
    <x v="11"/>
    <n v="19"/>
    <n v="22.286449600101669"/>
    <n v="22.51"/>
    <n v="22.049917221069339"/>
    <n v="4.9974781294704416E-2"/>
    <n v="0.21167616346856047"/>
  </r>
  <r>
    <x v="11"/>
    <n v="20"/>
    <n v="24.928708692362193"/>
    <n v="23.77"/>
    <n v="23.862106323242191"/>
    <n v="1.3426058337557036"/>
    <n v="8.4835747811950624E-3"/>
  </r>
  <r>
    <x v="11"/>
    <n v="21"/>
    <n v="25.740932542458733"/>
    <n v="25.89"/>
    <n v="25.581918716430661"/>
    <n v="2.222110689781762E-2"/>
    <n v="9.4914077285732118E-2"/>
  </r>
  <r>
    <x v="11"/>
    <n v="22"/>
    <n v="22.67457678626641"/>
    <n v="23.28"/>
    <n v="24.45773887634277"/>
    <n v="0.36653726772750927"/>
    <n v="1.3870688608491275"/>
  </r>
  <r>
    <x v="11"/>
    <n v="23"/>
    <n v="14.568079086499994"/>
    <n v="15.56"/>
    <n v="16.208738327026371"/>
    <n v="0.98390709863868775"/>
    <n v="0.42086141695297369"/>
  </r>
  <r>
    <x v="11"/>
    <n v="24"/>
    <n v="8.4860404848001334"/>
    <n v="9.23"/>
    <n v="10.32192802429199"/>
    <n v="0.5534757602564212"/>
    <n v="1.1923068102342087"/>
  </r>
  <r>
    <x v="11"/>
    <n v="25"/>
    <n v="4.9937017967165565"/>
    <n v="5.7"/>
    <n v="6.2520055770874023"/>
    <n v="0.49885715196142077"/>
    <n v="0.3047101571355959"/>
  </r>
  <r>
    <x v="11"/>
    <n v="26"/>
    <n v="3.2907801150735612"/>
    <n v="3.53"/>
    <n v="3.897738933563232"/>
    <n v="5.7226153344218544E-2"/>
    <n v="0.13523192325822328"/>
  </r>
  <r>
    <x v="11"/>
    <n v="27"/>
    <n v="2.3271703859849766"/>
    <n v="2.5299999999999998"/>
    <n v="2.7456986904144292"/>
    <n v="4.1139852321483296E-2"/>
    <n v="4.6525925046499834E-2"/>
  </r>
  <r>
    <x v="11"/>
    <n v="28"/>
    <n v="1.9728058044827188"/>
    <n v="2.27"/>
    <n v="2.1991569995880131"/>
    <n v="8.8324389849163978E-2"/>
    <n v="5.0187307073727731E-3"/>
  </r>
  <r>
    <x v="11"/>
    <n v="29"/>
    <n v="2.4616627004996929"/>
    <n v="2.54"/>
    <n v="2.423857450485229"/>
    <n v="6.1367324930008153E-3"/>
    <n v="1.348909180779103E-2"/>
  </r>
  <r>
    <x v="12"/>
    <n v="6"/>
    <n v="3.9110541293258039"/>
    <n v="3.66"/>
    <n v="3.9358620643615718"/>
    <n v="6.3028175851537388E-2"/>
    <n v="7.609987855382791E-2"/>
  </r>
  <r>
    <x v="12"/>
    <n v="7"/>
    <n v="5.9423787654993916"/>
    <n v="5.29"/>
    <n v="5.7292108535766602"/>
    <n v="0.42559805367451009"/>
    <n v="0.19290617389953837"/>
  </r>
  <r>
    <x v="12"/>
    <n v="8"/>
    <n v="7.658948643691625"/>
    <n v="7.05"/>
    <n v="7.6536760330200204"/>
    <n v="0.37081845065386987"/>
    <n v="0.36442475284278902"/>
  </r>
  <r>
    <x v="12"/>
    <n v="9"/>
    <n v="9.1409608627811441"/>
    <n v="7.9"/>
    <n v="8.6527853012084961"/>
    <n v="1.5399838629545206"/>
    <n v="0.56668570971556564"/>
  </r>
  <r>
    <x v="12"/>
    <n v="10"/>
    <n v="9.3654247490939646"/>
    <n v="8.34"/>
    <n v="8.9856672286987305"/>
    <n v="1.0514959160544206"/>
    <n v="0.4168861702154989"/>
  </r>
  <r>
    <x v="12"/>
    <n v="11"/>
    <n v="9.2130125509899727"/>
    <n v="8.3000000000000007"/>
    <n v="9.0741043090820313"/>
    <n v="0.83359191826521628"/>
    <n v="0.59923748133936783"/>
  </r>
  <r>
    <x v="12"/>
    <n v="12"/>
    <n v="9.0801091142432941"/>
    <n v="9.17"/>
    <n v="9.0157623291015625"/>
    <n v="8.0803713421251314E-3"/>
    <n v="2.3789259124174691E-2"/>
  </r>
  <r>
    <x v="12"/>
    <n v="13"/>
    <n v="9.6531789791142959"/>
    <n v="9.6999999999999993"/>
    <n v="9.7128915786743164"/>
    <n v="2.192207996779473E-3"/>
    <n v="1.6619280071610788E-4"/>
  </r>
  <r>
    <x v="12"/>
    <n v="14"/>
    <n v="10.416479379344187"/>
    <n v="10.08"/>
    <n v="10.680313110351561"/>
    <n v="0.11321837272384924"/>
    <n v="0.36037583045996502"/>
  </r>
  <r>
    <x v="12"/>
    <n v="15"/>
    <n v="11.798188659483536"/>
    <n v="10.61"/>
    <n v="12.368949890136721"/>
    <n v="1.4117922905252833"/>
    <n v="3.0939047160119832"/>
  </r>
  <r>
    <x v="12"/>
    <n v="16"/>
    <n v="13.559477847859256"/>
    <n v="12.89"/>
    <n v="14.848806381225589"/>
    <n v="0.44820058877426028"/>
    <n v="3.8369224391300873"/>
  </r>
  <r>
    <x v="12"/>
    <n v="17"/>
    <n v="15.430462337611802"/>
    <n v="14.04"/>
    <n v="16.6920280456543"/>
    <n v="1.9333855123168791"/>
    <n v="7.0332527549369726"/>
  </r>
  <r>
    <x v="12"/>
    <n v="18"/>
    <n v="17.388551184210677"/>
    <n v="15.18"/>
    <n v="18.071062088012699"/>
    <n v="4.8776983332783832"/>
    <n v="8.3582399967443486"/>
  </r>
  <r>
    <x v="12"/>
    <n v="19"/>
    <n v="20.288349304765415"/>
    <n v="17.52"/>
    <n v="21.200515747070309"/>
    <n v="7.6637578731951583"/>
    <n v="13.546196164432518"/>
  </r>
  <r>
    <x v="12"/>
    <n v="20"/>
    <n v="22.761845460357353"/>
    <n v="19.82"/>
    <n v="23.233028411865231"/>
    <n v="8.6544547126251654"/>
    <n v="11.648762940199298"/>
  </r>
  <r>
    <x v="12"/>
    <n v="21"/>
    <n v="25.199425201438871"/>
    <n v="22.59"/>
    <n v="25.78603553771973"/>
    <n v="6.8090998819042916"/>
    <n v="10.214643158367446"/>
  </r>
  <r>
    <x v="12"/>
    <n v="22"/>
    <n v="23.274721244219805"/>
    <n v="22.93"/>
    <n v="24.460039138793949"/>
    <n v="0.11883273621645052"/>
    <n v="2.3410197662413297"/>
  </r>
  <r>
    <x v="12"/>
    <n v="23"/>
    <n v="16.15323429172814"/>
    <n v="17.420000000000002"/>
    <n v="17.275541305541989"/>
    <n v="1.6046953596535121"/>
    <n v="2.0868314404513578E-2"/>
  </r>
  <r>
    <x v="12"/>
    <n v="24"/>
    <n v="10.27590292057557"/>
    <n v="11.9"/>
    <n v="11.372575759887701"/>
    <n v="2.6376913233949648"/>
    <n v="0.2781763290580368"/>
  </r>
  <r>
    <x v="12"/>
    <n v="25"/>
    <n v="6.3040124200437191"/>
    <n v="7.24"/>
    <n v="6.9092764854431152"/>
    <n v="0.87607274983241579"/>
    <n v="0.10937804308085811"/>
  </r>
  <r>
    <x v="12"/>
    <n v="26"/>
    <n v="4.0182727189607474"/>
    <n v="3.94"/>
    <n v="4.1589341163635254"/>
    <n v="6.1266185335081616E-3"/>
    <n v="4.7932147307877697E-2"/>
  </r>
  <r>
    <x v="12"/>
    <n v="27"/>
    <n v="2.6660456840740232"/>
    <n v="2.5"/>
    <n v="2.9019556045532231"/>
    <n v="2.7571169199610324E-2"/>
    <n v="0.16156830803174707"/>
  </r>
  <r>
    <x v="12"/>
    <n v="28"/>
    <n v="2.1620772920441591"/>
    <n v="1.94"/>
    <n v="2.272851705551147"/>
    <n v="4.9318323641666759E-2"/>
    <n v="0.11079025788830751"/>
  </r>
  <r>
    <x v="12"/>
    <n v="29"/>
    <n v="2.2587908665266512"/>
    <n v="1.94"/>
    <n v="2.1490378379821782"/>
    <n v="0.10162761658081317"/>
    <n v="4.3696817708263398E-2"/>
  </r>
  <r>
    <x v="13"/>
    <n v="6"/>
    <n v="3.4760464762316667"/>
    <n v="3.25"/>
    <n v="3.3781418800353999"/>
    <n v="5.1097009416753478E-2"/>
    <n v="1.6420341419006831E-2"/>
  </r>
  <r>
    <x v="13"/>
    <n v="7"/>
    <n v="5.895635137708668"/>
    <n v="4.95"/>
    <n v="5.5750055313110352"/>
    <n v="0.8942258136692911"/>
    <n v="0.39063191416938914"/>
  </r>
  <r>
    <x v="13"/>
    <n v="8"/>
    <n v="9.4145228691230365"/>
    <n v="7.47"/>
    <n v="8.4730005264282227"/>
    <n v="3.7811691885424867"/>
    <n v="1.0060100560152923"/>
  </r>
  <r>
    <x v="13"/>
    <n v="9"/>
    <n v="11.863635562764069"/>
    <n v="10.199999999999999"/>
    <n v="10.69909000396729"/>
    <n v="2.7676832856933218"/>
    <n v="0.24909083206007074"/>
  </r>
  <r>
    <x v="13"/>
    <n v="10"/>
    <n v="12.941451188020373"/>
    <n v="11.9"/>
    <n v="11.88322162628174"/>
    <n v="1.0846205770290462"/>
    <n v="2.8151382462960787E-4"/>
  </r>
  <r>
    <x v="13"/>
    <n v="11"/>
    <n v="12.963437169419123"/>
    <n v="11.89"/>
    <n v="12.08145809173584"/>
    <n v="1.1522673566905379"/>
    <n v="3.6656200891129045E-2"/>
  </r>
  <r>
    <x v="13"/>
    <n v="12"/>
    <n v="12.362752518085872"/>
    <n v="12.27"/>
    <n v="12.138041496276861"/>
    <n v="8.603029611269998E-3"/>
    <n v="1.7413046704849632E-2"/>
  </r>
  <r>
    <x v="13"/>
    <n v="13"/>
    <n v="12.67855915489748"/>
    <n v="13.01"/>
    <n v="11.87582492828369"/>
    <n v="0.10985303380227275"/>
    <n v="1.2863530933026972"/>
  </r>
  <r>
    <x v="13"/>
    <n v="14"/>
    <n v="14.009341713102389"/>
    <n v="12.62"/>
    <n v="12.90348052978516"/>
    <n v="1.9302703957662823"/>
    <n v="8.0361210767275315E-2"/>
  </r>
  <r>
    <x v="13"/>
    <n v="15"/>
    <n v="14.882373625901792"/>
    <n v="12.95"/>
    <n v="13.26714992523193"/>
    <n v="3.7340678300808414"/>
    <n v="0.10058407507461926"/>
  </r>
  <r>
    <x v="13"/>
    <n v="16"/>
    <n v="15.21206158319767"/>
    <n v="13.55"/>
    <n v="13.54937648773193"/>
    <n v="2.762448706341543"/>
    <n v="3.8876754843463045E-7"/>
  </r>
  <r>
    <x v="13"/>
    <n v="17"/>
    <n v="15.669376278000584"/>
    <n v="13.88"/>
    <n v="13.996757507324221"/>
    <n v="3.2018674642712206"/>
    <n v="1.3632315516565227E-2"/>
  </r>
  <r>
    <x v="13"/>
    <n v="18"/>
    <n v="16.438296402655258"/>
    <n v="14.94"/>
    <n v="15.15096473693848"/>
    <n v="2.2448921102096882"/>
    <n v="4.4506120231522325E-2"/>
  </r>
  <r>
    <x v="13"/>
    <n v="19"/>
    <n v="19.744736037777031"/>
    <n v="18.38"/>
    <n v="19.00528526306152"/>
    <n v="1.8625044528073522"/>
    <n v="0.39098166020191538"/>
  </r>
  <r>
    <x v="13"/>
    <n v="20"/>
    <n v="22.418757597922227"/>
    <n v="20.63"/>
    <n v="22.107719421386719"/>
    <n v="3.1996537441244977"/>
    <n v="2.183654688343502"/>
  </r>
  <r>
    <x v="13"/>
    <n v="21"/>
    <n v="23.545242385050528"/>
    <n v="21.74"/>
    <n v="23.46627044677734"/>
    <n v="3.2589000687829257"/>
    <n v="2.9800096554168429"/>
  </r>
  <r>
    <x v="13"/>
    <n v="22"/>
    <n v="22.286466143600332"/>
    <n v="23"/>
    <n v="23.869338989257809"/>
    <n v="0.50913056422858149"/>
    <n v="0.75575027824378882"/>
  </r>
  <r>
    <x v="13"/>
    <n v="23"/>
    <n v="18.028127844434561"/>
    <n v="19.46"/>
    <n v="19.544881820678711"/>
    <n v="2.0502578698836191"/>
    <n v="7.2049234817326948E-3"/>
  </r>
  <r>
    <x v="13"/>
    <n v="24"/>
    <n v="11.653230150339706"/>
    <n v="12.25"/>
    <n v="12.67941856384277"/>
    <n v="0.35613425346357019"/>
    <n v="0.18440030297278703"/>
  </r>
  <r>
    <x v="13"/>
    <n v="25"/>
    <n v="7.1605823857076709"/>
    <n v="7.48"/>
    <n v="7.7481193542480469"/>
    <n v="0.10202761232020338"/>
    <n v="7.1887988122389418E-2"/>
  </r>
  <r>
    <x v="13"/>
    <n v="26"/>
    <n v="4.6362069767544858"/>
    <n v="5.0999999999999996"/>
    <n v="4.8812861442565918"/>
    <n v="0.21510396841121376"/>
    <n v="4.7835750694148221E-2"/>
  </r>
  <r>
    <x v="13"/>
    <n v="27"/>
    <n v="3.1066357422307802"/>
    <n v="3.52"/>
    <n v="3.231075763702393"/>
    <n v="0.17087000960109799"/>
    <n v="8.3477214320155438E-2"/>
  </r>
  <r>
    <x v="13"/>
    <n v="28"/>
    <n v="2.2842825211102999"/>
    <n v="2.2799999999999998"/>
    <n v="2.2623717784881592"/>
    <n v="1.8339987060166358E-5"/>
    <n v="3.1075419367052059E-4"/>
  </r>
  <r>
    <x v="13"/>
    <n v="29"/>
    <n v="2.2062784178818609"/>
    <n v="2.13"/>
    <n v="2.197962760925293"/>
    <n v="5.8183970345598059E-3"/>
    <n v="4.6189368725885437E-3"/>
  </r>
  <r>
    <x v="14"/>
    <n v="6"/>
    <n v="3.2488896204834794"/>
    <n v="3.34"/>
    <n v="3.5268573760986328"/>
    <n v="8.301101255644391E-3"/>
    <n v="3.4915679002465963E-2"/>
  </r>
  <r>
    <x v="14"/>
    <n v="7"/>
    <n v="5.7230175263809091"/>
    <n v="5.53"/>
    <n v="6.0720105171203613"/>
    <n v="3.7255765490204845E-2"/>
    <n v="0.29377540066908125"/>
  </r>
  <r>
    <x v="14"/>
    <n v="8"/>
    <n v="9.760303978694914"/>
    <n v="9.07"/>
    <n v="9.5968685150146484"/>
    <n v="0.47651958300202785"/>
    <n v="0.27759043211374052"/>
  </r>
  <r>
    <x v="14"/>
    <n v="9"/>
    <n v="14.145357684517997"/>
    <n v="13.55"/>
    <n v="14.173538208007811"/>
    <n v="0.35445077251462964"/>
    <n v="0.38879989684559096"/>
  </r>
  <r>
    <x v="14"/>
    <n v="10"/>
    <n v="16.737752291567499"/>
    <n v="16.36"/>
    <n v="16.370647430419918"/>
    <n v="0.14269679378449754"/>
    <n v="1.1336777454701416E-4"/>
  </r>
  <r>
    <x v="14"/>
    <n v="11"/>
    <n v="17.755649675755027"/>
    <n v="17.03"/>
    <n v="17.208375930786129"/>
    <n v="0.52656745192337429"/>
    <n v="3.1817972683817572E-2"/>
  </r>
  <r>
    <x v="14"/>
    <n v="12"/>
    <n v="17.705265764623437"/>
    <n v="17.37"/>
    <n v="17.364864349365231"/>
    <n v="0.11240313292853737"/>
    <n v="2.6374907442415276E-5"/>
  </r>
  <r>
    <x v="14"/>
    <n v="13"/>
    <n v="17.437520861308936"/>
    <n v="17.23"/>
    <n v="17.457672119140621"/>
    <n v="4.30649078784026E-2"/>
    <n v="5.1834593833981132E-2"/>
  </r>
  <r>
    <x v="14"/>
    <n v="14"/>
    <n v="18.558671964924624"/>
    <n v="17.670000000000002"/>
    <n v="17.910427093505859"/>
    <n v="0.78973786124298928"/>
    <n v="5.7805187291674429E-2"/>
  </r>
  <r>
    <x v="14"/>
    <n v="15"/>
    <n v="19.147866910190867"/>
    <n v="17.670000000000002"/>
    <n v="18.121444702148441"/>
    <n v="2.1840906042370958"/>
    <n v="0.20380231909789312"/>
  </r>
  <r>
    <x v="14"/>
    <n v="16"/>
    <n v="19.050598002540184"/>
    <n v="17.75"/>
    <n v="18.297231674194339"/>
    <n v="1.6915551642115165"/>
    <n v="0.29946250524153972"/>
  </r>
  <r>
    <x v="14"/>
    <n v="17"/>
    <n v="19.633195273390701"/>
    <n v="19.45"/>
    <n v="18.749687194824219"/>
    <n v="3.3560508192693912E-2"/>
    <n v="0.49043802509317075"/>
  </r>
  <r>
    <x v="14"/>
    <n v="18"/>
    <n v="21.259819693005863"/>
    <n v="21.99"/>
    <n v="20.30770301818848"/>
    <n v="0.53316328072205033"/>
    <n v="2.8301231350121441"/>
  </r>
  <r>
    <x v="14"/>
    <n v="19"/>
    <n v="25.419837003022412"/>
    <n v="24.8"/>
    <n v="24.3582649230957"/>
    <n v="0.38419791031580458"/>
    <n v="0.19512987816764885"/>
  </r>
  <r>
    <x v="14"/>
    <n v="20"/>
    <n v="27.711235597923444"/>
    <n v="25.92"/>
    <n v="25.547819137573239"/>
    <n v="3.2085249672681533"/>
    <n v="0.13851859435672914"/>
  </r>
  <r>
    <x v="14"/>
    <n v="21"/>
    <n v="27.91749038385932"/>
    <n v="27.02"/>
    <n v="27.037752151489261"/>
    <n v="0.80548898911995082"/>
    <n v="3.1513888249769966E-4"/>
  </r>
  <r>
    <x v="14"/>
    <n v="22"/>
    <n v="23.865701616117391"/>
    <n v="24.02"/>
    <n v="24.627889633178711"/>
    <n v="2.3807991268784724E-2"/>
    <n v="0.36952980612614827"/>
  </r>
  <r>
    <x v="14"/>
    <n v="23"/>
    <n v="15.451171333888853"/>
    <n v="16.13"/>
    <n v="16.070259094238281"/>
    <n v="0.46080835793423774"/>
    <n v="3.5689758212304416E-3"/>
  </r>
  <r>
    <x v="14"/>
    <n v="24"/>
    <n v="8.8289994847879001"/>
    <n v="9.43"/>
    <n v="9.8227300643920898"/>
    <n v="0.36120161928520922"/>
    <n v="0.15423690347741525"/>
  </r>
  <r>
    <x v="14"/>
    <n v="25"/>
    <n v="5.4231561215019104"/>
    <n v="5.93"/>
    <n v="6.058830738067627"/>
    <n v="0.25689071717098594"/>
    <n v="1.6597359071049578E-2"/>
  </r>
  <r>
    <x v="14"/>
    <n v="26"/>
    <n v="3.2486838047519404"/>
    <n v="4.01"/>
    <n v="3.799355030059814"/>
    <n v="0.57960234914698128"/>
    <n v="4.4371303361101767E-2"/>
  </r>
  <r>
    <x v="14"/>
    <n v="27"/>
    <n v="2.2739203524157467"/>
    <n v="2.94"/>
    <n v="2.4821043014526372"/>
    <n v="0.44366209692596292"/>
    <n v="0.20966847074817732"/>
  </r>
  <r>
    <x v="14"/>
    <n v="28"/>
    <n v="1.8929667338812863"/>
    <n v="2.19"/>
    <n v="1.9243400096893311"/>
    <n v="8.8228761181150542E-2"/>
    <n v="7.0575230451864687E-2"/>
  </r>
  <r>
    <x v="14"/>
    <n v="29"/>
    <n v="2.3176717313483026"/>
    <n v="2.19"/>
    <n v="2.2231168746948242"/>
    <n v="1.6300070985473172E-2"/>
    <n v="1.0967273895526922E-3"/>
  </r>
  <r>
    <x v="15"/>
    <n v="6"/>
    <n v="3.9873913510894012"/>
    <n v="3.61"/>
    <n v="3.5654416084289551"/>
    <n v="0.14242423187708381"/>
    <n v="1.9854502593985562E-3"/>
  </r>
  <r>
    <x v="15"/>
    <n v="7"/>
    <n v="5.7885606111069388"/>
    <n v="5.36"/>
    <n v="5.3964815139770508"/>
    <n v="0.18366419739235251"/>
    <n v="1.3309008620577282E-3"/>
  </r>
  <r>
    <x v="15"/>
    <n v="8"/>
    <n v="7.5436784706891418"/>
    <n v="6.72"/>
    <n v="7.1318273544311523"/>
    <n v="0.6784462230768038"/>
    <n v="0.16960176985776218"/>
  </r>
  <r>
    <x v="15"/>
    <n v="9"/>
    <n v="8.7336983043685894"/>
    <n v="7.72"/>
    <n v="8.6825189590454102"/>
    <n v="1.0275842522797538"/>
    <n v="0.92644274652186043"/>
  </r>
  <r>
    <x v="15"/>
    <n v="10"/>
    <n v="9.1407008683406907"/>
    <n v="8.3000000000000007"/>
    <n v="9.1354198455810547"/>
    <n v="0.70677795002879018"/>
    <n v="0.6979263183906721"/>
  </r>
  <r>
    <x v="15"/>
    <n v="11"/>
    <n v="9.4491448276427796"/>
    <n v="8.41"/>
    <n v="8.9742298126220703"/>
    <n v="1.079821972816742"/>
    <n v="0.31835528145153641"/>
  </r>
  <r>
    <x v="15"/>
    <n v="12"/>
    <n v="9.3693797851441918"/>
    <n v="8.41"/>
    <n v="8.7794990539550781"/>
    <n v="0.92040957214331531"/>
    <n v="0.13652955087369764"/>
  </r>
  <r>
    <x v="15"/>
    <n v="13"/>
    <n v="9.7382213755468285"/>
    <n v="8.9700000000000006"/>
    <n v="9.1693601608276367"/>
    <n v="0.59016408184706037"/>
    <n v="3.974447372522092E-2"/>
  </r>
  <r>
    <x v="15"/>
    <n v="14"/>
    <n v="10.750307779531768"/>
    <n v="9.98"/>
    <n v="9.9890985488891602"/>
    <n v="0.59337407520716268"/>
    <n v="8.2783591888429758E-5"/>
  </r>
  <r>
    <x v="15"/>
    <n v="15"/>
    <n v="12.174656075650681"/>
    <n v="11.45"/>
    <n v="11.630698204040529"/>
    <n v="0.52512642797744646"/>
    <n v="3.2651840943472954E-2"/>
  </r>
  <r>
    <x v="15"/>
    <n v="16"/>
    <n v="14.416553018688104"/>
    <n v="13.54"/>
    <n v="13.588119506835939"/>
    <n v="0.76834519457122896"/>
    <n v="2.3154869381340889E-3"/>
  </r>
  <r>
    <x v="15"/>
    <n v="17"/>
    <n v="16.565658541782927"/>
    <n v="15.29"/>
    <n v="15.370613098144529"/>
    <n v="1.6273047152237459"/>
    <n v="6.498471592459679E-3"/>
  </r>
  <r>
    <x v="15"/>
    <n v="18"/>
    <n v="18.662140656174682"/>
    <n v="17.079999999999998"/>
    <n v="16.874624252319339"/>
    <n v="2.5031690559208575"/>
    <n v="4.2179197735389633E-2"/>
  </r>
  <r>
    <x v="15"/>
    <n v="19"/>
    <n v="23.420388478798845"/>
    <n v="22.21"/>
    <n v="20.991485595703121"/>
    <n v="1.4650402696089799"/>
    <n v="1.484777353478979"/>
  </r>
  <r>
    <x v="15"/>
    <n v="20"/>
    <n v="25.680254746881118"/>
    <n v="24.75"/>
    <n v="24.314386367797852"/>
    <n v="0.86537389409485366"/>
    <n v="0.18975923656034865"/>
  </r>
  <r>
    <x v="15"/>
    <n v="21"/>
    <n v="25.703493746768689"/>
    <n v="24.75"/>
    <n v="24.813346862792969"/>
    <n v="0.90915032512699379"/>
    <n v="4.0128250257112086E-3"/>
  </r>
  <r>
    <x v="15"/>
    <n v="22"/>
    <n v="22.080998999405615"/>
    <n v="22.34"/>
    <n v="21.970024108886719"/>
    <n v="6.7081518308892404E-2"/>
    <n v="0.13688216000506645"/>
  </r>
  <r>
    <x v="15"/>
    <n v="23"/>
    <n v="14.766463323104924"/>
    <n v="16.37"/>
    <n v="16.056171417236332"/>
    <n v="2.5713298741477062"/>
    <n v="9.8488379359453246E-2"/>
  </r>
  <r>
    <x v="15"/>
    <n v="24"/>
    <n v="8.5823625995763884"/>
    <n v="9.59"/>
    <n v="10.857979774475099"/>
    <n v="1.0153331307324536"/>
    <n v="1.6077727084779243"/>
  </r>
  <r>
    <x v="15"/>
    <n v="25"/>
    <n v="5.1271147186589241"/>
    <n v="5.57"/>
    <n v="6.0094561576843262"/>
    <n v="0.1961473724285642"/>
    <n v="0.1931217145266711"/>
  </r>
  <r>
    <x v="15"/>
    <n v="26"/>
    <n v="3.138297924353024"/>
    <n v="3.63"/>
    <n v="3.889196395874023"/>
    <n v="0.24177093119554438"/>
    <n v="6.7182771634083302E-2"/>
  </r>
  <r>
    <x v="15"/>
    <n v="27"/>
    <n v="2.2563622332388662"/>
    <n v="2.52"/>
    <n v="2.6583504676818852"/>
    <n v="6.9504872062797998E-2"/>
    <n v="1.9140851907796359E-2"/>
  </r>
  <r>
    <x v="15"/>
    <n v="28"/>
    <n v="1.9328322995533846"/>
    <n v="2.06"/>
    <n v="1.9469935894012449"/>
    <n v="1.6171624036880109E-2"/>
    <n v="1.2770448836414441E-2"/>
  </r>
  <r>
    <x v="15"/>
    <n v="29"/>
    <n v="2.408628545444933"/>
    <n v="2.44"/>
    <n v="2.4888045787811279"/>
    <n v="9.8416816090063147E-4"/>
    <n v="2.3818869100033276E-3"/>
  </r>
  <r>
    <x v="16"/>
    <n v="6"/>
    <n v="4.109186247713728"/>
    <n v="4.24"/>
    <n v="3.9467849731445308"/>
    <n v="1.7112237787214196E-2"/>
    <n v="8.5975051973853647E-2"/>
  </r>
  <r>
    <x v="16"/>
    <n v="7"/>
    <n v="6.041748470649166"/>
    <n v="5.6"/>
    <n v="5.5520954132080078"/>
    <n v="0.19514171132087738"/>
    <n v="2.2948494357114785E-3"/>
  </r>
  <r>
    <x v="16"/>
    <n v="8"/>
    <n v="7.7461659657749813"/>
    <n v="6.95"/>
    <n v="7.3665561676025391"/>
    <n v="0.63388024505840834"/>
    <n v="0.17351904076771446"/>
  </r>
  <r>
    <x v="16"/>
    <n v="9"/>
    <n v="8.9094029437709956"/>
    <n v="8.1300000000000008"/>
    <n v="8.4702253341674805"/>
    <n v="0.60746894875889257"/>
    <n v="0.11575327800937323"/>
  </r>
  <r>
    <x v="16"/>
    <n v="10"/>
    <n v="9.2442350867222647"/>
    <n v="8.6"/>
    <n v="8.8198022842407227"/>
    <n v="0.41503884696404436"/>
    <n v="4.8313044157439589E-2"/>
  </r>
  <r>
    <x v="16"/>
    <n v="11"/>
    <n v="9.3578055609053052"/>
    <n v="8.01"/>
    <n v="8.7737483978271484"/>
    <n v="1.8165798300072651"/>
    <n v="0.58331161518353647"/>
  </r>
  <r>
    <x v="16"/>
    <n v="12"/>
    <n v="9.2891183675547033"/>
    <n v="8.3800000000000008"/>
    <n v="8.7630424499511719"/>
    <n v="0.82649620622532727"/>
    <n v="0.14672151846459541"/>
  </r>
  <r>
    <x v="16"/>
    <n v="13"/>
    <n v="9.2491105868765846"/>
    <n v="8.69"/>
    <n v="8.786829948425293"/>
    <n v="0.31260464835747942"/>
    <n v="9.3760389120449931E-3"/>
  </r>
  <r>
    <x v="16"/>
    <n v="14"/>
    <n v="10.237952358323117"/>
    <n v="9.25"/>
    <n v="9.6222314834594727"/>
    <n v="0.97604986231620838"/>
    <n v="0.13855627727843967"/>
  </r>
  <r>
    <x v="16"/>
    <n v="15"/>
    <n v="11.899088317814249"/>
    <n v="10.62"/>
    <n v="11.31272125244141"/>
    <n v="1.6360669247688862"/>
    <n v="0.4798627335839965"/>
  </r>
  <r>
    <x v="16"/>
    <n v="16"/>
    <n v="14.28189939507479"/>
    <n v="11.92"/>
    <n v="13.6614933013916"/>
    <n v="5.5785687524546583"/>
    <n v="3.0327989187918138"/>
  </r>
  <r>
    <x v="16"/>
    <n v="17"/>
    <n v="16.595201613811664"/>
    <n v="13.62"/>
    <n v="15.60933876037598"/>
    <n v="8.851824642827534"/>
    <n v="3.9574687035342442"/>
  </r>
  <r>
    <x v="16"/>
    <n v="18"/>
    <n v="18.827041394822967"/>
    <n v="16.54"/>
    <n v="17.37632942199707"/>
    <n v="5.2305583416337846"/>
    <n v="0.69944690209795513"/>
  </r>
  <r>
    <x v="16"/>
    <n v="19"/>
    <n v="22.801954276440817"/>
    <n v="21.66"/>
    <n v="22.439285278320309"/>
    <n v="1.3040595694814701"/>
    <n v="0.60728554500676113"/>
  </r>
  <r>
    <x v="16"/>
    <n v="20"/>
    <n v="25.116440222101438"/>
    <n v="23.55"/>
    <n v="25.72670745849609"/>
    <n v="2.4537349694172015"/>
    <n v="4.7380553598725053"/>
  </r>
  <r>
    <x v="16"/>
    <n v="21"/>
    <n v="25.676606391885382"/>
    <n v="24.42"/>
    <n v="25.15887451171875"/>
    <n v="1.579059624127195"/>
    <n v="0.54593554406761868"/>
  </r>
  <r>
    <x v="16"/>
    <n v="22"/>
    <n v="22.388395729451062"/>
    <n v="23.45"/>
    <n v="23.95124435424805"/>
    <n v="1.1270036272477406"/>
    <n v="0.25124590266554581"/>
  </r>
  <r>
    <x v="16"/>
    <n v="23"/>
    <n v="14.725731230814425"/>
    <n v="17.18"/>
    <n v="16.633626937866211"/>
    <n v="6.0234351913996758"/>
    <n v="0.29852352302545299"/>
  </r>
  <r>
    <x v="16"/>
    <n v="24"/>
    <n v="8.2528916891726993"/>
    <n v="8.7100000000000009"/>
    <n v="9.7789068222045898"/>
    <n v="0.2089480078273889"/>
    <n v="1.1425617945555129"/>
  </r>
  <r>
    <x v="16"/>
    <n v="25"/>
    <n v="4.9175686406135233"/>
    <n v="4.99"/>
    <n v="5.8584113121032706"/>
    <n v="5.2463018225729803E-3"/>
    <n v="0.754138206988923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n v="26"/>
    <n v="3.2486838047519404"/>
    <n v="3.21"/>
    <n v="3.3012838363647461"/>
    <n v="1.4964367500862499E-3"/>
    <n v="8.3327387814657473E-3"/>
  </r>
  <r>
    <x v="0"/>
    <n v="27"/>
    <n v="2.2739203524157467"/>
    <n v="2.2999999999999998"/>
    <n v="2.201346874237061"/>
    <n v="6.8014801811883715E-4"/>
    <n v="9.732439222798225E-3"/>
  </r>
  <r>
    <x v="0"/>
    <n v="28"/>
    <n v="1.8929667338812863"/>
    <n v="1.86"/>
    <n v="1.750935554504395"/>
    <n v="1.0868055427995459E-3"/>
    <n v="1.189505327126382E-2"/>
  </r>
  <r>
    <x v="0"/>
    <n v="29"/>
    <n v="2.3176717313483026"/>
    <n v="2.13"/>
    <n v="2.2702748775482182"/>
    <n v="3.5220678747269515E-2"/>
    <n v="1.9677041271167647E-2"/>
  </r>
  <r>
    <x v="1"/>
    <n v="6"/>
    <n v="4.0281760649605172"/>
    <n v="4.01"/>
    <n v="3.7225594520568852"/>
    <n v="3.3036933744894764E-4"/>
    <n v="8.2622068601837947E-2"/>
  </r>
  <r>
    <x v="1"/>
    <n v="7"/>
    <n v="5.8477684408538515"/>
    <n v="5.48"/>
    <n v="5.5764365196228027"/>
    <n v="0.13525362608807256"/>
    <n v="9.3000023169591342E-3"/>
  </r>
  <r>
    <x v="1"/>
    <n v="8"/>
    <n v="7.6208383832416677"/>
    <n v="7.66"/>
    <n v="7.0554418563842773"/>
    <n v="1.5336322271265017E-3"/>
    <n v="0.36549054901208894"/>
  </r>
  <r>
    <x v="1"/>
    <n v="9"/>
    <n v="8.8230302397159974"/>
    <n v="8.4600000000000009"/>
    <n v="8.2006559371948242"/>
    <n v="0.13179095494825394"/>
    <n v="6.7259342912295406E-2"/>
  </r>
  <r>
    <x v="1"/>
    <n v="10"/>
    <n v="9.2341957968971506"/>
    <n v="8.25"/>
    <n v="8.6957321166992188"/>
    <n v="0.96864136663001743"/>
    <n v="0.19867711985716596"/>
  </r>
  <r>
    <x v="1"/>
    <n v="11"/>
    <n v="9.5457946505945355"/>
    <n v="8.3000000000000007"/>
    <n v="8.7487697601318359"/>
    <n v="1.5520043114499589"/>
    <n v="0.20139429760878494"/>
  </r>
  <r>
    <x v="1"/>
    <n v="12"/>
    <n v="9.4652137377313963"/>
    <n v="9"/>
    <n v="8.8404922485351563"/>
    <n v="0.21642382177401637"/>
    <n v="2.5442722777370363E-2"/>
  </r>
  <r>
    <x v="1"/>
    <n v="13"/>
    <n v="9.8378279948737113"/>
    <n v="9.34"/>
    <n v="9.0840511322021484"/>
    <n v="0.24783271247998007"/>
    <n v="6.5509822927002026E-2"/>
  </r>
  <r>
    <x v="1"/>
    <n v="14"/>
    <n v="10.860266443783486"/>
    <n v="10.08"/>
    <n v="10.082662582397459"/>
    <n v="0.60881572329452738"/>
    <n v="7.089345023258996E-6"/>
  </r>
  <r>
    <x v="1"/>
    <n v="15"/>
    <n v="12.299183572654206"/>
    <n v="11.59"/>
    <n v="11.642411231994631"/>
    <n v="0.5029413397225837"/>
    <n v="2.7469372391950137E-3"/>
  </r>
  <r>
    <x v="1"/>
    <n v="16"/>
    <n v="14.564011579462264"/>
    <n v="14.07"/>
    <n v="13.775650024414061"/>
    <n v="0.24404744064280026"/>
    <n v="8.6641908127443212E-2"/>
  </r>
  <r>
    <x v="1"/>
    <n v="17"/>
    <n v="16.735099056702197"/>
    <n v="15.51"/>
    <n v="15.60574340820312"/>
    <n v="1.5008676987326126"/>
    <n v="9.1668002143492442E-3"/>
  </r>
  <r>
    <x v="1"/>
    <n v="18"/>
    <n v="18.853024870907369"/>
    <n v="17.34"/>
    <n v="17.221477508544918"/>
    <n v="2.2892442599842608"/>
    <n v="1.4047580980719876E-2"/>
  </r>
  <r>
    <x v="1"/>
    <n v="19"/>
    <n v="23.203088299802388"/>
    <n v="20.73"/>
    <n v="20.687725067138668"/>
    <n v="6.1161657386194657"/>
    <n v="1.7871699484301371E-3"/>
  </r>
  <r>
    <x v="1"/>
    <n v="20"/>
    <n v="25.465134054537749"/>
    <n v="23.02"/>
    <n v="23.48769378662109"/>
    <n v="5.9786805446602154"/>
    <n v="0.21873747804397425"/>
  </r>
  <r>
    <x v="1"/>
    <n v="21"/>
    <n v="26.019182100188981"/>
    <n v="24.95"/>
    <n v="24.886898040771481"/>
    <n v="1.1431503633645226"/>
    <n v="3.9818572584776066E-3"/>
  </r>
  <r>
    <x v="1"/>
    <n v="22"/>
    <n v="22.32951722114764"/>
    <n v="21.48"/>
    <n v="21.862680435180661"/>
    <n v="0.72167950902640721"/>
    <n v="0.14644431547005937"/>
  </r>
  <r>
    <x v="1"/>
    <n v="23"/>
    <n v="14.625000895561303"/>
    <n v="14.61"/>
    <n v="14.381313323974609"/>
    <n v="2.2502686764114724E-4"/>
    <n v="5.2297595791541709E-2"/>
  </r>
  <r>
    <x v="1"/>
    <n v="24"/>
    <n v="8.4140809799768501"/>
    <n v="9.1"/>
    <n v="8.4593601226806641"/>
    <n v="0.47048490202951782"/>
    <n v="0.41041945241173333"/>
  </r>
  <r>
    <x v="1"/>
    <n v="25"/>
    <n v="5.1271147186589241"/>
    <n v="5.61"/>
    <n v="4.9953341484069824"/>
    <n v="0.23317819493585035"/>
    <n v="0.37781410911456992"/>
  </r>
  <r>
    <x v="1"/>
    <n v="26"/>
    <n v="3.138297924353024"/>
    <n v="3.61"/>
    <n v="3.2836828231811519"/>
    <n v="0.22250284816966534"/>
    <n v="0.10648289988702329"/>
  </r>
  <r>
    <x v="1"/>
    <n v="27"/>
    <n v="2.2563622332388662"/>
    <n v="2.13"/>
    <n v="2.2866582870483398"/>
    <n v="1.5967413989113648E-2"/>
    <n v="2.4541818900920078E-2"/>
  </r>
  <r>
    <x v="1"/>
    <n v="28"/>
    <n v="1.9328322995533846"/>
    <n v="1.81"/>
    <n v="1.8096504211425779"/>
    <n v="1.5087773813572404E-2"/>
    <n v="1.222053775565761E-7"/>
  </r>
  <r>
    <x v="1"/>
    <n v="29"/>
    <n v="2.408628545444933"/>
    <n v="2.2400000000000002"/>
    <n v="2.2668359279632568"/>
    <n v="2.8435586338873758E-2"/>
    <n v="7.2016702964909879E-4"/>
  </r>
  <r>
    <x v="2"/>
    <n v="6"/>
    <n v="4.1481828760688071"/>
    <n v="3.77"/>
    <n v="3.5857224464416499"/>
    <n v="0.14302228775167469"/>
    <n v="3.3958216745450576E-2"/>
  </r>
  <r>
    <x v="2"/>
    <n v="7"/>
    <n v="6.0990853265426823"/>
    <n v="5.21"/>
    <n v="5.3694138526916504"/>
    <n v="0.79047271787350815"/>
    <n v="2.5412776429995221E-2"/>
  </r>
  <r>
    <x v="2"/>
    <n v="8"/>
    <n v="7.8196779307077389"/>
    <n v="6.89"/>
    <n v="6.8181858062744141"/>
    <n v="0.86430105484502395"/>
    <n v="5.1572784204559404E-3"/>
  </r>
  <r>
    <x v="2"/>
    <n v="9"/>
    <n v="8.9939541552565316"/>
    <n v="8.2799999999999994"/>
    <n v="8.0105571746826172"/>
    <n v="0.5097305358080686"/>
    <n v="7.2599436115013322E-2"/>
  </r>
  <r>
    <x v="2"/>
    <n v="10"/>
    <n v="9.3319638919825447"/>
    <n v="8.75"/>
    <n v="8.4129543304443359"/>
    <n v="0.33868197157147101"/>
    <n v="0.11359978336622589"/>
  </r>
  <r>
    <x v="2"/>
    <n v="11"/>
    <n v="9.4466121624266552"/>
    <n v="8.58"/>
    <n v="8.5003032684326172"/>
    <n v="0.75101664006580338"/>
    <n v="6.3515690225234836E-3"/>
  </r>
  <r>
    <x v="2"/>
    <n v="12"/>
    <n v="9.3772731200747241"/>
    <n v="8.64"/>
    <n v="8.7144126892089844"/>
    <n v="0.54357165358471771"/>
    <n v="5.5372483153128147E-3"/>
  </r>
  <r>
    <x v="2"/>
    <n v="13"/>
    <n v="9.3368856611682745"/>
    <n v="8.61"/>
    <n v="9.0117158889770508"/>
    <n v="0.52836276441204033"/>
    <n v="0.16137565545662264"/>
  </r>
  <r>
    <x v="2"/>
    <n v="14"/>
    <n v="10.335111649522604"/>
    <n v="10.45"/>
    <n v="10.04428005218506"/>
    <n v="1.3199333075416795E-2"/>
    <n v="0.16460867605495677"/>
  </r>
  <r>
    <x v="2"/>
    <n v="15"/>
    <n v="12.012011971530907"/>
    <n v="12.17"/>
    <n v="11.88256168365479"/>
    <n v="2.4960217139551041E-2"/>
    <n v="8.2620785703368699E-2"/>
  </r>
  <r>
    <x v="2"/>
    <n v="16"/>
    <n v="14.417436187359211"/>
    <n v="14.81"/>
    <n v="13.74797248840332"/>
    <n v="0.15410634699507275"/>
    <n v="1.1279024353882368"/>
  </r>
  <r>
    <x v="2"/>
    <n v="17"/>
    <n v="16.752691897969871"/>
    <n v="16.649999999999999"/>
    <n v="15.492433547973629"/>
    <n v="1.0545625908654759E-2"/>
    <n v="1.3399600908569167"/>
  </r>
  <r>
    <x v="2"/>
    <n v="18"/>
    <n v="19.005712083382807"/>
    <n v="18.87"/>
    <n v="16.723257064819339"/>
    <n v="1.8417769576101761E-2"/>
    <n v="4.608505229748082"/>
  </r>
  <r>
    <x v="2"/>
    <n v="19"/>
    <n v="23.040073301338275"/>
    <n v="22.16"/>
    <n v="19.669694900512699"/>
    <n v="0.77452901572844957"/>
    <n v="6.2016194885324571"/>
  </r>
  <r>
    <x v="2"/>
    <n v="20"/>
    <n v="25.402677923764681"/>
    <n v="24.39"/>
    <n v="22.355314254760739"/>
    <n v="1.0255165772803447"/>
    <n v="4.1399460818798506"/>
  </r>
  <r>
    <x v="2"/>
    <n v="21"/>
    <n v="25.969227986949551"/>
    <n v="24.13"/>
    <n v="23.925083160400391"/>
    <n v="3.3827595879785033"/>
    <n v="4.1990911151491631E-2"/>
  </r>
  <r>
    <x v="2"/>
    <n v="22"/>
    <n v="22.622195994791628"/>
    <n v="21.07"/>
    <n v="21.395072937011719"/>
    <n v="2.4093124062471714"/>
    <n v="0.10567241437742468"/>
  </r>
  <r>
    <x v="2"/>
    <n v="23"/>
    <n v="14.865480035917715"/>
    <n v="13.95"/>
    <n v="14.47870922088623"/>
    <n v="0.83810369616390179"/>
    <n v="0.27953344025012561"/>
  </r>
  <r>
    <x v="2"/>
    <n v="24"/>
    <n v="8.2528916891726993"/>
    <n v="7.97"/>
    <n v="8.4311952590942383"/>
    <n v="8.0027707802983267E-2"/>
    <n v="0.2127010670110018"/>
  </r>
  <r>
    <x v="2"/>
    <n v="25"/>
    <n v="4.9175686406135233"/>
    <n v="4.3600000000000003"/>
    <n v="5.0314311981201172"/>
    <n v="0.31088278899561195"/>
    <n v="0.45081985380901562"/>
  </r>
  <r>
    <x v="2"/>
    <n v="26"/>
    <n v="3.2553040791956822"/>
    <n v="2.88"/>
    <n v="3.2859764099121089"/>
    <n v="0.14085315186091898"/>
    <n v="0.16481684540512478"/>
  </r>
  <r>
    <x v="2"/>
    <n v="27"/>
    <n v="2.2274345122999057"/>
    <n v="1.83"/>
    <n v="2.2795851230621338"/>
    <n v="0.15795419156706386"/>
    <n v="0.20212678287879393"/>
  </r>
  <r>
    <x v="2"/>
    <n v="28"/>
    <n v="1.9288025672832814"/>
    <n v="1.81"/>
    <n v="1.7980804443359379"/>
    <n v="1.4114049993098583E-2"/>
    <n v="1.420758072286751E-4"/>
  </r>
  <r>
    <x v="2"/>
    <n v="29"/>
    <n v="2.3809960955927929"/>
    <n v="2.17"/>
    <n v="2.290114164352417"/>
    <n v="4.4519352355403032E-2"/>
    <n v="1.4427412478079459E-2"/>
  </r>
  <r>
    <x v="3"/>
    <n v="6"/>
    <n v="4.2070143854174953"/>
    <n v="3.82"/>
    <n v="3.6586647033691411"/>
    <n v="0.14978013452008171"/>
    <n v="2.602907793896719E-2"/>
  </r>
  <r>
    <x v="3"/>
    <n v="7"/>
    <n v="6.2188955665913577"/>
    <n v="6.08"/>
    <n v="5.8416843414306641"/>
    <n v="1.9291978418734253E-2"/>
    <n v="5.6794353119336338E-2"/>
  </r>
  <r>
    <x v="3"/>
    <n v="8"/>
    <n v="7.8073916114405728"/>
    <n v="7.47"/>
    <n v="7.8551950454711914"/>
    <n v="0.11383309947046663"/>
    <n v="0.1483752230555534"/>
  </r>
  <r>
    <x v="3"/>
    <n v="9"/>
    <n v="8.6948337866961616"/>
    <n v="8.57"/>
    <n v="8.5875358581542969"/>
    <n v="1.5583474300902697E-2"/>
    <n v="3.0750632120761024E-4"/>
  </r>
  <r>
    <x v="3"/>
    <n v="10"/>
    <n v="9.0884235154160944"/>
    <n v="8.92"/>
    <n v="8.7201166152954102"/>
    <n v="2.8366480545115407E-2"/>
    <n v="3.995336748096303E-2"/>
  </r>
  <r>
    <x v="3"/>
    <n v="11"/>
    <n v="9.0758436820587711"/>
    <n v="8.91"/>
    <n v="8.5115442276000977"/>
    <n v="2.7504126878810715E-2"/>
    <n v="0.15876700255880288"/>
  </r>
  <r>
    <x v="3"/>
    <n v="12"/>
    <n v="9.1968703547033623"/>
    <n v="9"/>
    <n v="8.4652261734008789"/>
    <n v="3.8757936561027703E-2"/>
    <n v="0.28598304561546684"/>
  </r>
  <r>
    <x v="3"/>
    <n v="13"/>
    <n v="9.44008046627828"/>
    <n v="9.6300000000000008"/>
    <n v="8.9042577743530273"/>
    <n v="3.6069429289075833E-2"/>
    <n v="0.52670177808702257"/>
  </r>
  <r>
    <x v="3"/>
    <n v="14"/>
    <n v="10.386235760323997"/>
    <n v="10.61"/>
    <n v="9.9429187774658203"/>
    <n v="5.0070434957779568E-2"/>
    <n v="0.44499735745769503"/>
  </r>
  <r>
    <x v="3"/>
    <n v="15"/>
    <n v="12.194196396817791"/>
    <n v="12.57"/>
    <n v="11.831113815307621"/>
    <n v="0.14122834816473151"/>
    <n v="0.54595279392926122"/>
  </r>
  <r>
    <x v="3"/>
    <n v="16"/>
    <n v="14.442741838347191"/>
    <n v="14.75"/>
    <n v="13.965357780456539"/>
    <n v="9.4407577902263951E-2"/>
    <n v="0.61566341269008817"/>
  </r>
  <r>
    <x v="3"/>
    <n v="17"/>
    <n v="16.769143434737707"/>
    <n v="17.579999999999998"/>
    <n v="15.349557876586911"/>
    <n v="0.65748836942896072"/>
    <n v="4.9748720658954841"/>
  </r>
  <r>
    <x v="3"/>
    <n v="18"/>
    <n v="18.793820619968542"/>
    <n v="20.7"/>
    <n v="17.3572998046875"/>
    <n v="3.6335198288571089"/>
    <n v="11.173644595742221"/>
  </r>
  <r>
    <x v="3"/>
    <n v="19"/>
    <n v="22.297694239535119"/>
    <n v="24.07"/>
    <n v="20.479543685913089"/>
    <n v="3.141067708577002"/>
    <n v="12.891376543366565"/>
  </r>
  <r>
    <x v="3"/>
    <n v="20"/>
    <n v="25.054129199001189"/>
    <n v="25.85"/>
    <n v="22.881755828857418"/>
    <n v="0.63341033188249207"/>
    <n v="8.810473459521921"/>
  </r>
  <r>
    <x v="3"/>
    <n v="21"/>
    <n v="25.935685131096356"/>
    <n v="26.16"/>
    <n v="24.317022323608398"/>
    <n v="5.0317160411258915E-2"/>
    <n v="3.3965667156777872"/>
  </r>
  <r>
    <x v="3"/>
    <n v="22"/>
    <n v="23.107032791347766"/>
    <n v="22.43"/>
    <n v="22.266984939575199"/>
    <n v="0.45837340056014836"/>
    <n v="2.6573909925301474E-2"/>
  </r>
  <r>
    <x v="3"/>
    <n v="23"/>
    <n v="14.743210435107926"/>
    <n v="14.25"/>
    <n v="15.29558181762695"/>
    <n v="0.24325653329934974"/>
    <n v="1.0932413373520757"/>
  </r>
  <r>
    <x v="3"/>
    <n v="24"/>
    <n v="8.7543112755417187"/>
    <n v="8.08"/>
    <n v="8.8295040130615234"/>
    <n v="0.45469569632269963"/>
    <n v="0.56175626559532821"/>
  </r>
  <r>
    <x v="3"/>
    <n v="25"/>
    <n v="5.4195581462607452"/>
    <n v="5.14"/>
    <n v="5.2941985130310059"/>
    <n v="7.8152757140744364E-2"/>
    <n v="2.3777181420973383E-2"/>
  </r>
  <r>
    <x v="3"/>
    <n v="26"/>
    <n v="3.1594540187710698"/>
    <n v="3.6"/>
    <n v="3.3514165878295898"/>
    <n v="0.194080761576961"/>
    <n v="6.1793712806284061E-2"/>
  </r>
  <r>
    <x v="3"/>
    <n v="27"/>
    <n v="2.0537242676565008"/>
    <n v="2.27"/>
    <n v="2.251994371414185"/>
    <n v="4.677519240071689E-2"/>
    <n v="3.242026607703184E-4"/>
  </r>
  <r>
    <x v="3"/>
    <n v="28"/>
    <n v="1.695941609675137"/>
    <n v="1.68"/>
    <n v="1.7945184707641599"/>
    <n v="2.5413491903442239E-4"/>
    <n v="1.3114480146161768E-2"/>
  </r>
  <r>
    <x v="3"/>
    <n v="29"/>
    <n v="2.1485668950135879"/>
    <n v="2.29"/>
    <n v="2.2596085071563721"/>
    <n v="2.0003323186097481E-2"/>
    <n v="9.2364283726428982E-4"/>
  </r>
  <r>
    <x v="4"/>
    <n v="6"/>
    <n v="3.8538836248418011"/>
    <n v="3.99"/>
    <n v="3.6929807662963872"/>
    <n v="1.8527667586207594E-2"/>
    <n v="8.8220425189881505E-2"/>
  </r>
  <r>
    <x v="4"/>
    <n v="7"/>
    <n v="5.9121963437802068"/>
    <n v="5.76"/>
    <n v="5.4960002899169922"/>
    <n v="2.3163727060062943E-2"/>
    <n v="6.9695846923912064E-2"/>
  </r>
  <r>
    <x v="4"/>
    <n v="8"/>
    <n v="7.6410345846906509"/>
    <n v="7.63"/>
    <n v="7.3218994140625"/>
    <n v="1.2176205929514931E-4"/>
    <n v="9.4925971055030756E-2"/>
  </r>
  <r>
    <x v="4"/>
    <n v="9"/>
    <n v="8.8721222551125489"/>
    <n v="9.16"/>
    <n v="7.6630048751831046"/>
    <n v="8.2873596001484445E-2"/>
    <n v="2.2409944037255527"/>
  </r>
  <r>
    <x v="4"/>
    <n v="10"/>
    <n v="9.2875403168435575"/>
    <n v="9.57"/>
    <n v="7.5242805480957031"/>
    <n v="7.978347260883803E-2"/>
    <n v="4.1849680758996177"/>
  </r>
  <r>
    <x v="4"/>
    <n v="11"/>
    <n v="9.2414630005389"/>
    <n v="9.5500000000000007"/>
    <n v="7.7220659255981454"/>
    <n v="9.5195080036459254E-2"/>
    <n v="3.3413429803593675"/>
  </r>
  <r>
    <x v="4"/>
    <n v="12"/>
    <n v="8.9557547508504687"/>
    <n v="10.19"/>
    <n v="7.7149314880371094"/>
    <n v="1.5233613350481874"/>
    <n v="6.1259641389101951"/>
  </r>
  <r>
    <x v="4"/>
    <n v="13"/>
    <n v="9.1485861529404886"/>
    <n v="11.03"/>
    <n v="7.8761739730834961"/>
    <n v="3.5397180639072681"/>
    <n v="9.9466186080559371"/>
  </r>
  <r>
    <x v="4"/>
    <n v="14"/>
    <n v="10.700259279304493"/>
    <n v="12.1"/>
    <n v="9.6756324768066406"/>
    <n v="1.9592740851731756"/>
    <n v="5.8775578875147021"/>
  </r>
  <r>
    <x v="4"/>
    <n v="15"/>
    <n v="12.510430483427553"/>
    <n v="13.27"/>
    <n v="11.567868232727051"/>
    <n v="0.57694585050609948"/>
    <n v="2.8972525531597317"/>
  </r>
  <r>
    <x v="4"/>
    <n v="16"/>
    <n v="14.7636011397154"/>
    <n v="15.5"/>
    <n v="13.28964233398438"/>
    <n v="0.54228328142845827"/>
    <n v="4.8856810117140173"/>
  </r>
  <r>
    <x v="4"/>
    <n v="17"/>
    <n v="16.617291574651723"/>
    <n v="16.96"/>
    <n v="14.96482563018799"/>
    <n v="0.1174490648046959"/>
    <n v="3.9807207659547545"/>
  </r>
  <r>
    <x v="4"/>
    <n v="18"/>
    <n v="18.608787851658445"/>
    <n v="19.29"/>
    <n v="16.72148513793945"/>
    <n v="0.46404999104811606"/>
    <n v="6.5972685966259244"/>
  </r>
  <r>
    <x v="4"/>
    <n v="19"/>
    <n v="22.409229699910444"/>
    <n v="23.67"/>
    <n v="19.612972259521481"/>
    <n v="1.5895417495879132"/>
    <n v="16.459474087012254"/>
  </r>
  <r>
    <x v="4"/>
    <n v="20"/>
    <n v="25.078551048933388"/>
    <n v="25.11"/>
    <n v="22.423643112182621"/>
    <n v="9.8903652319011753E-4"/>
    <n v="7.216513328723873"/>
  </r>
  <r>
    <x v="4"/>
    <n v="21"/>
    <n v="26.707433125477742"/>
    <n v="27.5"/>
    <n v="24.96623611450195"/>
    <n v="0.62816225058998076"/>
    <n v="6.4199594274541774"/>
  </r>
  <r>
    <x v="4"/>
    <n v="22"/>
    <n v="24.509457285452356"/>
    <n v="24.75"/>
    <n v="23.725273132324219"/>
    <n v="5.7860797521949225E-2"/>
    <n v="1.0500651533366181"/>
  </r>
  <r>
    <x v="4"/>
    <n v="23"/>
    <n v="15.446287858033108"/>
    <n v="15.92"/>
    <n v="15.95969390869141"/>
    <n v="0.22440319344686119"/>
    <n v="1.5756063872019842E-3"/>
  </r>
  <r>
    <x v="4"/>
    <n v="24"/>
    <n v="8.4860404848001334"/>
    <n v="9.32"/>
    <n v="9.3053388595581055"/>
    <n v="0.69548847299239702"/>
    <n v="2.149490390569637E-4"/>
  </r>
  <r>
    <x v="4"/>
    <n v="25"/>
    <n v="4.9937017967165565"/>
    <n v="5.48"/>
    <n v="5.2746753692626953"/>
    <n v="0.23648594251670579"/>
    <n v="4.21582039874107E-2"/>
  </r>
  <r>
    <x v="4"/>
    <n v="26"/>
    <n v="3.2907801150735612"/>
    <n v="3.41"/>
    <n v="3.3752503395080571"/>
    <n v="1.4213380961873353E-2"/>
    <n v="1.2075389043053081E-3"/>
  </r>
  <r>
    <x v="4"/>
    <n v="27"/>
    <n v="2.3271703859849766"/>
    <n v="2.29"/>
    <n v="2.2817213535308838"/>
    <n v="1.3816375942721428E-3"/>
    <n v="6.8535987360610894E-5"/>
  </r>
  <r>
    <x v="4"/>
    <n v="28"/>
    <n v="2.0319899786172004"/>
    <n v="2.14"/>
    <n v="2.042864322662354"/>
    <n v="1.1666164719112847E-2"/>
    <n v="9.435339811843307E-3"/>
  </r>
  <r>
    <x v="4"/>
    <n v="29"/>
    <n v="2.5355125815146837"/>
    <n v="2.76"/>
    <n v="2.593831062316895"/>
    <n v="5.039460105820142E-2"/>
    <n v="2.7612115850731572E-2"/>
  </r>
  <r>
    <x v="5"/>
    <n v="6"/>
    <n v="3.9285107441603064"/>
    <n v="3.58"/>
    <n v="3.7806892395019531"/>
    <n v="0.12145973879517051"/>
    <n v="4.0276170851872274E-2"/>
  </r>
  <r>
    <x v="5"/>
    <n v="7"/>
    <n v="5.9689020029386874"/>
    <n v="5.82"/>
    <n v="5.6693239212036133"/>
    <n v="2.21718064791528E-2"/>
    <n v="2.2703280721455023E-2"/>
  </r>
  <r>
    <x v="5"/>
    <n v="8"/>
    <n v="7.6931336260746761"/>
    <n v="7.55"/>
    <n v="7.2653961181640616"/>
    <n v="2.048723491328525E-2"/>
    <n v="8.099936955608468E-2"/>
  </r>
  <r>
    <x v="5"/>
    <n v="9"/>
    <n v="9.1817606645027166"/>
    <n v="9.01"/>
    <n v="8.4392309188842773"/>
    <n v="2.9501725870414826E-2"/>
    <n v="0.32577734395768615"/>
  </r>
  <r>
    <x v="5"/>
    <n v="10"/>
    <n v="9.4072264238344339"/>
    <n v="9.1300000000000008"/>
    <n v="8.7841167449951172"/>
    <n v="7.6854490072028728E-2"/>
    <n v="0.11963522609277333"/>
  </r>
  <r>
    <x v="5"/>
    <n v="11"/>
    <n v="9.2541339485083931"/>
    <n v="8.92"/>
    <n v="8.8656301498413086"/>
    <n v="0.11164549554580955"/>
    <n v="2.956080606278548E-3"/>
  </r>
  <r>
    <x v="5"/>
    <n v="12"/>
    <n v="9.1206373100240885"/>
    <n v="8.92"/>
    <n v="8.8497657775878906"/>
    <n v="4.0255330173702232E-2"/>
    <n v="4.9328459978336368E-3"/>
  </r>
  <r>
    <x v="5"/>
    <n v="13"/>
    <n v="9.6962650172499938"/>
    <n v="8.91"/>
    <n v="9.1189241409301758"/>
    <n v="0.61821267735113283"/>
    <n v="4.3649296663411892E-2"/>
  </r>
  <r>
    <x v="5"/>
    <n v="14"/>
    <n v="10.462972335576449"/>
    <n v="10.37"/>
    <n v="10.59425067901611"/>
    <n v="8.6438551825399924E-3"/>
    <n v="5.0288367039186627E-2"/>
  </r>
  <r>
    <x v="5"/>
    <n v="15"/>
    <n v="11.850848742510539"/>
    <n v="12.03"/>
    <n v="12.717738151550289"/>
    <n v="3.2095173060054813E-2"/>
    <n v="0.47298376509780971"/>
  </r>
  <r>
    <x v="5"/>
    <n v="16"/>
    <n v="13.619999276180129"/>
    <n v="13.67"/>
    <n v="14.6173849105835"/>
    <n v="2.5000723825109681E-3"/>
    <n v="0.89753816880130577"/>
  </r>
  <r>
    <x v="5"/>
    <n v="17"/>
    <n v="15.499334725678807"/>
    <n v="15.04"/>
    <n v="15.83737754821777"/>
    <n v="0.21098839021442564"/>
    <n v="0.63581095440178326"/>
  </r>
  <r>
    <x v="5"/>
    <n v="18"/>
    <n v="17.466163313962795"/>
    <n v="17.29"/>
    <n v="17.032121658325199"/>
    <n v="3.1033513186354656E-2"/>
    <n v="6.6501239104945042E-2"/>
  </r>
  <r>
    <x v="5"/>
    <n v="19"/>
    <n v="20.387978014056252"/>
    <n v="19.940000000000001"/>
    <n v="19.55226898193359"/>
    <n v="0.20068430107778207"/>
    <n v="0.15033534237081558"/>
  </r>
  <r>
    <x v="5"/>
    <n v="20"/>
    <n v="22.883804146871793"/>
    <n v="21.73"/>
    <n v="21.96251106262207"/>
    <n v="1.3312640093385439"/>
    <n v="5.4061394241644106E-2"/>
  </r>
  <r>
    <x v="5"/>
    <n v="21"/>
    <n v="25.59697762095939"/>
    <n v="25.32"/>
    <n v="23.99643707275391"/>
    <n v="7.6716602512323109E-2"/>
    <n v="1.7518188223802398"/>
  </r>
  <r>
    <x v="5"/>
    <n v="22"/>
    <n v="23.625267616826005"/>
    <n v="23.59"/>
    <n v="23.454303741455082"/>
    <n v="1.2438047965858867E-3"/>
    <n v="1.8413474583089281E-2"/>
  </r>
  <r>
    <x v="5"/>
    <n v="23"/>
    <n v="16.225332703061248"/>
    <n v="16.05"/>
    <n v="17.023117065429691"/>
    <n v="3.0741556762763585E-2"/>
    <n v="0.94695682303049222"/>
  </r>
  <r>
    <x v="5"/>
    <n v="24"/>
    <n v="10.27590292057557"/>
    <n v="10.06"/>
    <n v="10.61096668243408"/>
    <n v="4.6614071113060616E-2"/>
    <n v="0.30356428515241607"/>
  </r>
  <r>
    <x v="5"/>
    <n v="25"/>
    <n v="6.3040124200437191"/>
    <n v="6.15"/>
    <n v="6.1627764701843262"/>
    <n v="2.3719825527722855E-2"/>
    <n v="1.6323819037096656E-4"/>
  </r>
  <r>
    <x v="5"/>
    <n v="26"/>
    <n v="4.0182727189607474"/>
    <n v="3.68"/>
    <n v="3.7870182991027832"/>
    <n v="0.11442843239309672"/>
    <n v="1.1452916342852735E-2"/>
  </r>
  <r>
    <x v="5"/>
    <n v="27"/>
    <n v="2.6660456840740232"/>
    <n v="2.84"/>
    <n v="2.779990434646606"/>
    <n v="3.0260104029274495E-2"/>
    <n v="3.6011479339032484E-3"/>
  </r>
  <r>
    <x v="5"/>
    <n v="28"/>
    <n v="2.1620772920441591"/>
    <n v="2.09"/>
    <n v="2.287147998809814"/>
    <n v="5.1951360284190218E-3"/>
    <n v="3.8867333434714484E-2"/>
  </r>
  <r>
    <x v="5"/>
    <n v="29"/>
    <n v="2.2587908665266512"/>
    <n v="2.06"/>
    <n v="2.1881380081176758"/>
    <n v="3.9517808614416824E-2"/>
    <n v="1.6419349124365532E-2"/>
  </r>
  <r>
    <x v="6"/>
    <n v="6"/>
    <n v="3.4903410438746207"/>
    <n v="3.33"/>
    <n v="3.378496646881104"/>
    <n v="2.5709250350803032E-2"/>
    <n v="2.3519247587104834E-3"/>
  </r>
  <r>
    <x v="6"/>
    <n v="7"/>
    <n v="5.919879794922088"/>
    <n v="5.52"/>
    <n v="5.4300551414489746"/>
    <n v="0.15990385038693153"/>
    <n v="8.090077579763889E-3"/>
  </r>
  <r>
    <x v="6"/>
    <n v="8"/>
    <n v="9.4532382703407762"/>
    <n v="9.31"/>
    <n v="8.2108659744262695"/>
    <n v="2.0517202090217155E-2"/>
    <n v="1.208095606173915"/>
  </r>
  <r>
    <x v="6"/>
    <n v="9"/>
    <n v="11.912422465414211"/>
    <n v="12.59"/>
    <n v="10.87246608734131"/>
    <n v="0.45911131537535527"/>
    <n v="2.9499227411326667"/>
  </r>
  <r>
    <x v="6"/>
    <n v="10"/>
    <n v="12.994670398600579"/>
    <n v="13.89"/>
    <n v="11.83563899993896"/>
    <n v="0.80161509514204643"/>
    <n v="4.2203991185718008"/>
  </r>
  <r>
    <x v="6"/>
    <n v="11"/>
    <n v="13.016746793088004"/>
    <n v="14.09"/>
    <n v="11.75076293945312"/>
    <n v="1.1518724461468841"/>
    <n v="5.4720300254360081"/>
  </r>
  <r>
    <x v="6"/>
    <n v="12"/>
    <n v="12.413591942509926"/>
    <n v="13.65"/>
    <n v="11.751760482788089"/>
    <n v="1.528704884626378"/>
    <n v="3.6033132647049086"/>
  </r>
  <r>
    <x v="6"/>
    <n v="13"/>
    <n v="12.730697272927291"/>
    <n v="14.1"/>
    <n v="12.40530395507812"/>
    <n v="1.8749899583687577"/>
    <n v="2.8719946846738624"/>
  </r>
  <r>
    <x v="6"/>
    <n v="14"/>
    <n v="14.066952416561191"/>
    <n v="14.07"/>
    <n v="13.492415428161619"/>
    <n v="9.2877648165019319E-6"/>
    <n v="0.33360393762572588"/>
  </r>
  <r>
    <x v="6"/>
    <n v="15"/>
    <n v="14.943574503950407"/>
    <n v="14.89"/>
    <n v="14.200387001037599"/>
    <n v="2.8702274735320768E-3"/>
    <n v="0.47556608833791669"/>
  </r>
  <r>
    <x v="6"/>
    <n v="16"/>
    <n v="15.274618239093"/>
    <n v="16.03"/>
    <n v="14.230484962463381"/>
    <n v="0.570601604710962"/>
    <n v="3.2382543703204245"/>
  </r>
  <r>
    <x v="6"/>
    <n v="17"/>
    <n v="15.733813551972709"/>
    <n v="16.2"/>
    <n v="14.662399291992189"/>
    <n v="0.21732980432430149"/>
    <n v="2.3642159372661187"/>
  </r>
  <r>
    <x v="6"/>
    <n v="18"/>
    <n v="16.505895711660305"/>
    <n v="17.7"/>
    <n v="15.514394760131839"/>
    <n v="1.4258850514312484"/>
    <n v="4.7768702645391565"/>
  </r>
  <r>
    <x v="6"/>
    <n v="19"/>
    <n v="19.416513618273704"/>
    <n v="20.84"/>
    <n v="17.322055816650391"/>
    <n v="2.0263134789602208"/>
    <n v="12.37593127716335"/>
  </r>
  <r>
    <x v="6"/>
    <n v="20"/>
    <n v="22.289766018812216"/>
    <n v="22.71"/>
    <n v="18.733268737792969"/>
    <n v="0.17659659894493554"/>
    <n v="15.814391531814735"/>
  </r>
  <r>
    <x v="6"/>
    <n v="21"/>
    <n v="23.661487261140088"/>
    <n v="25.9"/>
    <n v="21.068778991699219"/>
    <n v="5.0109392820380965"/>
    <n v="23.340696431046805"/>
  </r>
  <r>
    <x v="6"/>
    <n v="22"/>
    <n v="22.387303466270932"/>
    <n v="24.81"/>
    <n v="21.872505187988281"/>
    <n v="5.8694584945428341"/>
    <n v="8.6288757705957551"/>
  </r>
  <r>
    <x v="6"/>
    <n v="23"/>
    <n v="18.102265027211089"/>
    <n v="18.48"/>
    <n v="17.096452713012699"/>
    <n v="0.14268370966783933"/>
    <n v="1.9142030953299225"/>
  </r>
  <r>
    <x v="6"/>
    <n v="24"/>
    <n v="11.886294753346501"/>
    <n v="12.38"/>
    <n v="12.621767044067379"/>
    <n v="0.24374487057319297"/>
    <n v="5.8451303597077724E-2"/>
  </r>
  <r>
    <x v="6"/>
    <n v="25"/>
    <n v="7.3037940334218243"/>
    <n v="7.97"/>
    <n v="8.2192344665527344"/>
    <n v="0.44383038990436102"/>
    <n v="6.2117819317826194E-2"/>
  </r>
  <r>
    <x v="6"/>
    <n v="26"/>
    <n v="4.6362069767544858"/>
    <n v="4.74"/>
    <n v="4.8232421875"/>
    <n v="1.0772991674443897E-2"/>
    <n v="6.929261779785121E-3"/>
  </r>
  <r>
    <x v="6"/>
    <n v="27"/>
    <n v="3.1066357422307802"/>
    <n v="3.07"/>
    <n v="3.2284703254699711"/>
    <n v="1.342177608800184E-3"/>
    <n v="2.5112844054558638E-2"/>
  </r>
  <r>
    <x v="6"/>
    <n v="28"/>
    <n v="2.2842825211102999"/>
    <n v="2.38"/>
    <n v="2.4840490818023682"/>
    <n v="9.1618357650001554E-3"/>
    <n v="1.0826211423915924E-2"/>
  </r>
  <r>
    <x v="6"/>
    <n v="29"/>
    <n v="2.2062784178818609"/>
    <n v="2.34"/>
    <n v="2.2381126880645752"/>
    <n v="1.7881461524178192E-2"/>
    <n v="1.0381024333426529E-2"/>
  </r>
  <r>
    <x v="7"/>
    <n v="6"/>
    <n v="3.2577507023596741"/>
    <n v="3.4"/>
    <n v="3.4647750854492192"/>
    <n v="2.0234862679165997E-2"/>
    <n v="4.1958116949536595E-3"/>
  </r>
  <r>
    <x v="7"/>
    <n v="7"/>
    <n v="5.7386265906471836"/>
    <n v="6.1"/>
    <n v="5.898247241973877"/>
    <n v="0.13059074098727794"/>
    <n v="4.0704175371147212E-2"/>
  </r>
  <r>
    <x v="7"/>
    <n v="8"/>
    <n v="9.7869244129954449"/>
    <n v="10.83"/>
    <n v="9.8796520233154297"/>
    <n v="1.0880066802048973"/>
    <n v="0.9031612767884567"/>
  </r>
  <r>
    <x v="7"/>
    <n v="9"/>
    <n v="14.18393799571734"/>
    <n v="14.99"/>
    <n v="13.627670288085939"/>
    <n v="0.64973595474817947"/>
    <n v="1.8559422439638482"/>
  </r>
  <r>
    <x v="7"/>
    <n v="10"/>
    <n v="16.783403147953617"/>
    <n v="18.3"/>
    <n v="16.41694450378418"/>
    <n v="2.300066011637"/>
    <n v="3.5458980018286121"/>
  </r>
  <r>
    <x v="7"/>
    <n v="11"/>
    <n v="17.804076764367068"/>
    <n v="20.010000000000002"/>
    <n v="17.035062789916989"/>
    <n v="4.8660973215052721"/>
    <n v="8.8502514039365003"/>
  </r>
  <r>
    <x v="7"/>
    <n v="12"/>
    <n v="17.753555435220733"/>
    <n v="19.989999999999998"/>
    <n v="16.8780632019043"/>
    <n v="5.0016842913307187"/>
    <n v="9.684150635342105"/>
  </r>
  <r>
    <x v="7"/>
    <n v="13"/>
    <n v="17.485080279485452"/>
    <n v="20.71"/>
    <n v="17.592815399169918"/>
    <n v="10.400107203763639"/>
    <n v="9.7168398356522001"/>
  </r>
  <r>
    <x v="7"/>
    <n v="14"/>
    <n v="18.609289231438641"/>
    <n v="21.55"/>
    <n v="18.178045272827148"/>
    <n v="8.6477798243327424"/>
    <n v="11.370078682103344"/>
  </r>
  <r>
    <x v="7"/>
    <n v="15"/>
    <n v="19.200091157938758"/>
    <n v="22.38"/>
    <n v="18.493463516235352"/>
    <n v="10.111820243819265"/>
    <n v="15.105165839633671"/>
  </r>
  <r>
    <x v="7"/>
    <n v="16"/>
    <n v="19.102556957263261"/>
    <n v="22.69"/>
    <n v="18.64195442199707"/>
    <n v="12.869747584880244"/>
    <n v="16.386673001589084"/>
  </r>
  <r>
    <x v="7"/>
    <n v="17"/>
    <n v="19.686743214727944"/>
    <n v="22.42"/>
    <n v="19.11698150634766"/>
    <n v="7.4706926542357444"/>
    <n v="10.909931169409386"/>
  </r>
  <r>
    <x v="7"/>
    <n v="18"/>
    <n v="21.099383995808072"/>
    <n v="24.04"/>
    <n v="19.756526947021481"/>
    <n v="8.6472224841096956"/>
    <n v="18.348141395593107"/>
  </r>
  <r>
    <x v="7"/>
    <n v="19"/>
    <n v="25.627409355715383"/>
    <n v="28.99"/>
    <n v="23.372152328491211"/>
    <n v="11.307015841030427"/>
    <n v="31.560212460276706"/>
  </r>
  <r>
    <x v="7"/>
    <n v="20"/>
    <n v="28.519063088716692"/>
    <n v="31.49"/>
    <n v="26.99455451965332"/>
    <n v="8.8264661308255938"/>
    <n v="20.209030066769376"/>
  </r>
  <r>
    <x v="7"/>
    <n v="21"/>
    <n v="28.14257376311075"/>
    <n v="29.92"/>
    <n v="27.477632522583011"/>
    <n v="3.1592440275822855"/>
    <n v="5.9651588947442331"/>
  </r>
  <r>
    <x v="7"/>
    <n v="22"/>
    <n v="23.937322083514651"/>
    <n v="25.56"/>
    <n v="24.4050178527832"/>
    <n v="2.6330836206492285"/>
    <n v="1.3339837603895279"/>
  </r>
  <r>
    <x v="7"/>
    <n v="23"/>
    <n v="15.4933131454818"/>
    <n v="18.04"/>
    <n v="17.05196380615234"/>
    <n v="6.4856139349758015"/>
    <n v="0.97621552035296866"/>
  </r>
  <r>
    <x v="7"/>
    <n v="24"/>
    <n v="8.8289994847879001"/>
    <n v="9.84"/>
    <n v="9.5486793518066406"/>
    <n v="1.0221220417591312"/>
    <n v="8.4867720063798974E-2"/>
  </r>
  <r>
    <x v="7"/>
    <n v="25"/>
    <n v="5.4231561215019104"/>
    <n v="5.72"/>
    <n v="5.9873380661010742"/>
    <n v="8.8116288201788434E-2"/>
    <n v="7.1469641586662455E-2"/>
  </r>
  <r>
    <x v="7"/>
    <n v="26"/>
    <n v="3.2486838047519404"/>
    <n v="3.99"/>
    <n v="3.997227668762207"/>
    <n v="0.54954970133705949"/>
    <n v="5.223919573618024E-5"/>
  </r>
  <r>
    <x v="7"/>
    <n v="27"/>
    <n v="2.2739203524157467"/>
    <n v="2.4500000000000002"/>
    <n v="2.776868343353271"/>
    <n v="3.1004042293394884E-2"/>
    <n v="0.10684291388651178"/>
  </r>
  <r>
    <x v="7"/>
    <n v="28"/>
    <n v="1.8929667338812863"/>
    <n v="2.0299999999999998"/>
    <n v="2.3252513408660889"/>
    <n v="1.8778116023162147E-2"/>
    <n v="8.7173354283223509E-2"/>
  </r>
  <r>
    <x v="7"/>
    <n v="29"/>
    <n v="2.3176717313483026"/>
    <n v="2.65"/>
    <n v="2.6747393608093262"/>
    <n v="0.11044207814503469"/>
    <n v="6.1203597325402807E-4"/>
  </r>
  <r>
    <x v="8"/>
    <n v="6"/>
    <n v="4.0000849541166623"/>
    <n v="4.34"/>
    <n v="3.838135719299316"/>
    <n v="0.11554223841787147"/>
    <n v="0.25186775624321484"/>
  </r>
  <r>
    <x v="8"/>
    <n v="7"/>
    <n v="5.8069881202293026"/>
    <n v="6.23"/>
    <n v="5.6051778793334961"/>
    <n v="0.17893905042713934"/>
    <n v="0.39040268247418769"/>
  </r>
  <r>
    <x v="8"/>
    <n v="8"/>
    <n v="7.5676932842453946"/>
    <n v="7.91"/>
    <n v="7.3328723907470703"/>
    <n v="0.11717388765070434"/>
    <n v="0.33307627736200246"/>
  </r>
  <r>
    <x v="8"/>
    <n v="9"/>
    <n v="8.7615014692636617"/>
    <n v="9.01"/>
    <n v="8.3792037963867188"/>
    <n v="6.1751519778118769E-2"/>
    <n v="0.39790385049292792"/>
  </r>
  <r>
    <x v="8"/>
    <n v="10"/>
    <n v="9.1697996996309694"/>
    <n v="9.48"/>
    <n v="8.732487678527832"/>
    <n v="9.6224226349037059E-2"/>
    <n v="0.55877467075271048"/>
  </r>
  <r>
    <x v="8"/>
    <n v="11"/>
    <n v="9.4792255703710868"/>
    <n v="10.37"/>
    <n v="8.6191167831420898"/>
    <n v="0.79347908448071425"/>
    <n v="3.0655920390747009"/>
  </r>
  <r>
    <x v="8"/>
    <n v="12"/>
    <n v="9.3992066010075952"/>
    <n v="10.97"/>
    <n v="8.4348411560058594"/>
    <n v="2.4673919023181141"/>
    <n v="6.4270303642817108"/>
  </r>
  <r>
    <x v="8"/>
    <n v="13"/>
    <n v="9.7692223748089173"/>
    <n v="11.49"/>
    <n v="8.6537008285522461"/>
    <n v="2.961075635358263"/>
    <n v="8.0445929899552162"/>
  </r>
  <r>
    <x v="8"/>
    <n v="14"/>
    <n v="10.784530690542741"/>
    <n v="11.79"/>
    <n v="9.6854057312011719"/>
    <n v="1.0109685322604547"/>
    <n v="4.42931703626087"/>
  </r>
  <r>
    <x v="8"/>
    <n v="15"/>
    <n v="12.21341330753752"/>
    <n v="12.99"/>
    <n v="11.22181224822998"/>
    <n v="0.60308689090981482"/>
    <n v="3.126487925509517"/>
  </r>
  <r>
    <x v="8"/>
    <n v="16"/>
    <n v="14.462447184805182"/>
    <n v="14.91"/>
    <n v="13.25723075866699"/>
    <n v="0.20030352238880716"/>
    <n v="2.7316461650964925"/>
  </r>
  <r>
    <x v="8"/>
    <n v="17"/>
    <n v="16.618394246633443"/>
    <n v="17.649999999999999"/>
    <n v="15.165731430053709"/>
    <n v="1.064210430378979"/>
    <n v="6.1715903276229822"/>
  </r>
  <r>
    <x v="8"/>
    <n v="18"/>
    <n v="18.915556079917014"/>
    <n v="21.34"/>
    <n v="17.77542877197266"/>
    <n v="5.8779283216273557"/>
    <n v="12.706168039680339"/>
  </r>
  <r>
    <x v="8"/>
    <n v="19"/>
    <n v="23.263824294071618"/>
    <n v="25.51"/>
    <n v="20.978847503662109"/>
    <n v="5.0453053019028715"/>
    <n v="20.531342945069113"/>
  </r>
  <r>
    <x v="8"/>
    <n v="20"/>
    <n v="25.252328784126579"/>
    <n v="26.16"/>
    <n v="23.3719482421875"/>
    <n v="0.82386703612513446"/>
    <n v="7.7732326042413717"/>
  </r>
  <r>
    <x v="8"/>
    <n v="21"/>
    <n v="25.801746799402824"/>
    <n v="27.27"/>
    <n v="25.344589233398441"/>
    <n v="2.1557674610638484"/>
    <n v="3.7072066201452012"/>
  </r>
  <r>
    <x v="8"/>
    <n v="22"/>
    <n v="22.158346401223927"/>
    <n v="24.15"/>
    <n v="22.687917709350589"/>
    <n v="3.9666840575176776"/>
    <n v="2.1376846246306234"/>
  </r>
  <r>
    <x v="8"/>
    <n v="23"/>
    <n v="14.523011182444648"/>
    <n v="15.28"/>
    <n v="14.94509792327881"/>
    <n v="0.57303206990384881"/>
    <n v="0.11215940099216516"/>
  </r>
  <r>
    <x v="8"/>
    <n v="24"/>
    <n v="8.4140809799768501"/>
    <n v="9.6"/>
    <n v="9.5973234176635742"/>
    <n v="1.4064039220526674"/>
    <n v="7.1640930036645921E-6"/>
  </r>
  <r>
    <x v="8"/>
    <n v="25"/>
    <n v="5.1271147186589241"/>
    <n v="6.25"/>
    <n v="6.1456699371337891"/>
    <n v="1.2608713550524271"/>
    <n v="1.0884762017667526E-2"/>
  </r>
  <r>
    <x v="8"/>
    <n v="26"/>
    <n v="3.138297924353024"/>
    <n v="4.08"/>
    <n v="3.843145370483398"/>
    <n v="0.88680279927782302"/>
    <n v="5.6100115523446827E-2"/>
  </r>
  <r>
    <x v="8"/>
    <n v="27"/>
    <n v="2.2563622332388662"/>
    <n v="3.04"/>
    <n v="2.8759009838104248"/>
    <n v="0.61408814949437718"/>
    <n v="2.6928487114386473E-2"/>
  </r>
  <r>
    <x v="8"/>
    <n v="28"/>
    <n v="1.9328322995533846"/>
    <n v="2.6"/>
    <n v="2.3514330387115479"/>
    <n v="0.44511274051922478"/>
    <n v="6.1785534244174913E-2"/>
  </r>
  <r>
    <x v="8"/>
    <n v="29"/>
    <n v="2.408628545444933"/>
    <n v="2.7"/>
    <n v="2.4557263851165771"/>
    <n v="8.4897324529535578E-2"/>
    <n v="5.966959892821487E-2"/>
  </r>
  <r>
    <x v="9"/>
    <n v="6"/>
    <n v="4.1241431404320021"/>
    <n v="3.86"/>
    <n v="3.7938499450683589"/>
    <n v="6.9771598637280469E-2"/>
    <n v="4.3758297674591148E-3"/>
  </r>
  <r>
    <x v="9"/>
    <n v="7"/>
    <n v="6.063739633438777"/>
    <n v="5.6"/>
    <n v="5.5083174705505371"/>
    <n v="0.21505444762193157"/>
    <n v="8.4056862062515652E-3"/>
  </r>
  <r>
    <x v="9"/>
    <n v="8"/>
    <n v="7.7743609820978632"/>
    <n v="7.31"/>
    <n v="7.0191364288330078"/>
    <n v="0.21563112169489237"/>
    <n v="8.46016170320157E-2"/>
  </r>
  <r>
    <x v="9"/>
    <n v="9"/>
    <n v="8.9418319883508097"/>
    <n v="8.48"/>
    <n v="8.2670269012451172"/>
    <n v="0.21328878546406205"/>
    <n v="4.5357540793257246E-2"/>
  </r>
  <r>
    <x v="9"/>
    <n v="10"/>
    <n v="9.2778828758755427"/>
    <n v="8.7100000000000009"/>
    <n v="8.6408596038818359"/>
    <n v="0.32249096071267608"/>
    <n v="4.7803943753767543E-3"/>
  </r>
  <r>
    <x v="9"/>
    <n v="11"/>
    <n v="9.3918667315156199"/>
    <n v="8.9499999999999993"/>
    <n v="8.4944381713867188"/>
    <n v="0.19524620842029755"/>
    <n v="0.207536579689476"/>
  </r>
  <r>
    <x v="9"/>
    <n v="12"/>
    <n v="9.3229295258949154"/>
    <n v="9.36"/>
    <n v="8.5353946685791016"/>
    <n v="1.3742200503757047E-3"/>
    <n v="0.67997395260776883"/>
  </r>
  <r>
    <x v="9"/>
    <n v="13"/>
    <n v="9.2827761222035239"/>
    <n v="9.09"/>
    <n v="8.7907485961914063"/>
    <n v="3.7162633291828027E-2"/>
    <n v="8.9551402681413955E-2"/>
  </r>
  <r>
    <x v="9"/>
    <n v="14"/>
    <n v="10.275217146494606"/>
    <n v="10.210000000000001"/>
    <n v="9.7560796737670898"/>
    <n v="4.253276196898823E-3"/>
    <n v="0.20604366256739237"/>
  </r>
  <r>
    <x v="9"/>
    <n v="15"/>
    <n v="11.942399420472068"/>
    <n v="12.01"/>
    <n v="11.088680267333981"/>
    <n v="4.5698383525122552E-3"/>
    <n v="0.8488300497997846"/>
  </r>
  <r>
    <x v="9"/>
    <n v="16"/>
    <n v="14.333883613892853"/>
    <n v="13.73"/>
    <n v="13.20736122131348"/>
    <n v="0.36467541912829204"/>
    <n v="0.27315129298693758"/>
  </r>
  <r>
    <x v="9"/>
    <n v="17"/>
    <n v="16.655605945767665"/>
    <n v="16.010000000000002"/>
    <n v="15.118293762207029"/>
    <n v="0.41680703721055867"/>
    <n v="0.79514001451889649"/>
  </r>
  <r>
    <x v="9"/>
    <n v="18"/>
    <n v="18.895569327452346"/>
    <n v="18"/>
    <n v="17.309419631958011"/>
    <n v="0.80204442027344769"/>
    <n v="0.4769012447250085"/>
  </r>
  <r>
    <x v="9"/>
    <n v="19"/>
    <n v="22.893283215885081"/>
    <n v="21.2"/>
    <n v="20.23734283447266"/>
    <n v="2.8672080491981236"/>
    <n v="0.9267088183411315"/>
  </r>
  <r>
    <x v="9"/>
    <n v="20"/>
    <n v="25.170455736657885"/>
    <n v="23.84"/>
    <n v="22.883451461791989"/>
    <n v="1.7701124672058768"/>
    <n v="0.91498510594788307"/>
  </r>
  <r>
    <x v="9"/>
    <n v="21"/>
    <n v="25.731826601997032"/>
    <n v="27.24"/>
    <n v="25.0845947265625"/>
    <n v="2.2745869984438154"/>
    <n v="4.6457718927621778"/>
  </r>
  <r>
    <x v="9"/>
    <n v="22"/>
    <n v="22.478068237914158"/>
    <n v="25.1"/>
    <n v="23.226806640625"/>
    <n v="6.8745261650345757"/>
    <n v="3.5088533616066031"/>
  </r>
  <r>
    <x v="9"/>
    <n v="23"/>
    <n v="14.779330938625185"/>
    <n v="16.7"/>
    <n v="15.022365570068359"/>
    <n v="3.688969643322412"/>
    <n v="2.8144572804920585"/>
  </r>
  <r>
    <x v="9"/>
    <n v="24"/>
    <n v="8.2528916891726993"/>
    <n v="10.09"/>
    <n v="9.8330507278442383"/>
    <n v="3.3749669457107374"/>
    <n v="6.6022928461375627E-2"/>
  </r>
  <r>
    <x v="9"/>
    <n v="25"/>
    <n v="4.9175686406135233"/>
    <n v="6"/>
    <n v="6.2435908317565918"/>
    <n v="1.1716576477832559"/>
    <n v="5.9336493315868211E-2"/>
  </r>
  <r>
    <x v="9"/>
    <n v="26"/>
    <n v="3.2553040791956822"/>
    <n v="4.17"/>
    <n v="4.011868953704834"/>
    <n v="0.83666862753605864"/>
    <n v="2.5005427802403914E-2"/>
  </r>
  <r>
    <x v="9"/>
    <n v="27"/>
    <n v="2.2719832025459041"/>
    <n v="3.33"/>
    <n v="2.9764294624328609"/>
    <n v="1.1193995436950215"/>
    <n v="0.12501212503551579"/>
  </r>
  <r>
    <x v="9"/>
    <n v="28"/>
    <n v="1.967378618628947"/>
    <n v="2.5"/>
    <n v="2.4561893939971919"/>
    <n v="0.28368553589360868"/>
    <n v="1.9193691983332816E-3"/>
  </r>
  <r>
    <x v="9"/>
    <n v="29"/>
    <n v="2.3809960955927929"/>
    <n v="2.39"/>
    <n v="2.4864602088928218"/>
    <n v="8.1070294574125585E-5"/>
    <n v="9.3045718996467974E-3"/>
  </r>
  <r>
    <x v="10"/>
    <n v="6"/>
    <n v="4.1873235856668458"/>
    <n v="4.03"/>
    <n v="4.1643896102905273"/>
    <n v="2.4750710607073297E-2"/>
    <n v="1.8060567354039745E-2"/>
  </r>
  <r>
    <x v="10"/>
    <n v="7"/>
    <n v="6.1285031877797316"/>
    <n v="5.85"/>
    <n v="6.0460376739501953"/>
    <n v="7.7564025603472628E-2"/>
    <n v="3.8430769607803228E-2"/>
  </r>
  <r>
    <x v="10"/>
    <n v="8"/>
    <n v="7.6939102557054326"/>
    <n v="7.06"/>
    <n v="7.3730831146240234"/>
    <n v="0.40184221228852746"/>
    <n v="9.8021036662679639E-2"/>
  </r>
  <r>
    <x v="10"/>
    <n v="9"/>
    <n v="8.6541378880673232"/>
    <n v="8.67"/>
    <n v="8.3125886917114258"/>
    <n v="2.5160659496476536E-4"/>
    <n v="0.1277428432925502"/>
  </r>
  <r>
    <x v="10"/>
    <n v="10"/>
    <n v="9.0458854323252762"/>
    <n v="9.0500000000000007"/>
    <n v="8.7228469848632813"/>
    <n v="1.6929667149887875E-5"/>
    <n v="0.10702909531304659"/>
  </r>
  <r>
    <x v="10"/>
    <n v="11"/>
    <n v="9.0333644784860248"/>
    <n v="9.4"/>
    <n v="8.5915393829345703"/>
    <n v="0.13442160563582486"/>
    <n v="0.6536085693458159"/>
  </r>
  <r>
    <x v="10"/>
    <n v="12"/>
    <n v="9.1538246895601993"/>
    <n v="9.16"/>
    <n v="8.5505819320678711"/>
    <n v="3.8134459027912704E-5"/>
    <n v="0.37139038152212905"/>
  </r>
  <r>
    <x v="10"/>
    <n v="13"/>
    <n v="9.395896463785725"/>
    <n v="9.32"/>
    <n v="8.7590532302856445"/>
    <n v="5.7602732151778172E-3"/>
    <n v="0.31466127845297048"/>
  </r>
  <r>
    <x v="10"/>
    <n v="14"/>
    <n v="10.33762330745755"/>
    <n v="10.07"/>
    <n v="9.6469449996948242"/>
    <n v="7.1622234694518117E-2"/>
    <n v="0.17897553328321253"/>
  </r>
  <r>
    <x v="10"/>
    <n v="15"/>
    <n v="12.137121840523873"/>
    <n v="11.34"/>
    <n v="10.98496627807617"/>
    <n v="0.63540322864016741"/>
    <n v="0.12604894370308728"/>
  </r>
  <r>
    <x v="10"/>
    <n v="16"/>
    <n v="14.37514303517338"/>
    <n v="13.73"/>
    <n v="13.36677360534668"/>
    <n v="0.41620953583272075"/>
    <n v="0.13193341377284992"/>
  </r>
  <r>
    <x v="10"/>
    <n v="17"/>
    <n v="16.690655981376988"/>
    <n v="15.47"/>
    <n v="15.041389465332029"/>
    <n v="1.4900010248714164"/>
    <n v="0.18370699042836411"/>
  </r>
  <r>
    <x v="10"/>
    <n v="18"/>
    <n v="18.705856728126346"/>
    <n v="17.03"/>
    <n v="16.81075477600098"/>
    <n v="2.8084957732063369"/>
    <n v="4.8068468246380905E-2"/>
  </r>
  <r>
    <x v="10"/>
    <n v="19"/>
    <n v="22.182947916732914"/>
    <n v="21.88"/>
    <n v="20.367607116699219"/>
    <n v="9.1777440252813189E-2"/>
    <n v="2.2873322334588475"/>
  </r>
  <r>
    <x v="10"/>
    <n v="20"/>
    <n v="24.801730734153981"/>
    <n v="24.49"/>
    <n v="23.272861480712891"/>
    <n v="9.7176050616181092E-2"/>
    <n v="1.4814261751324134"/>
  </r>
  <r>
    <x v="10"/>
    <n v="21"/>
    <n v="25.674405760344555"/>
    <n v="25.62"/>
    <n v="24.28150749206543"/>
    <n v="2.9599867586690954E-3"/>
    <n v="1.7915621937969783"/>
  </r>
  <r>
    <x v="10"/>
    <n v="22"/>
    <n v="22.988121525671879"/>
    <n v="24.43"/>
    <n v="23.400461196899411"/>
    <n v="2.0790135347307892"/>
    <n v="1.0599501470897938"/>
  </r>
  <r>
    <x v="10"/>
    <n v="23"/>
    <n v="14.674205298028845"/>
    <n v="17.84"/>
    <n v="17.222929000854489"/>
    <n v="10.022256095028634"/>
    <n v="0.38077661798643953"/>
  </r>
  <r>
    <x v="10"/>
    <n v="24"/>
    <n v="8.7543112755417187"/>
    <n v="10.11"/>
    <n v="9.6746139526367188"/>
    <n v="1.8378919176233202"/>
    <n v="0.18956101023862088"/>
  </r>
  <r>
    <x v="10"/>
    <n v="25"/>
    <n v="5.4195581462607452"/>
    <n v="5.87"/>
    <n v="6.1312036514282227"/>
    <n v="0.20289786360005635"/>
    <n v="6.822734751943639E-2"/>
  </r>
  <r>
    <x v="10"/>
    <n v="26"/>
    <n v="3.1594540187710698"/>
    <n v="3.77"/>
    <n v="4.2471861839294434"/>
    <n v="0.37276639519479721"/>
    <n v="0.22770665413314453"/>
  </r>
  <r>
    <x v="10"/>
    <n v="27"/>
    <n v="2.0537242676565008"/>
    <n v="2.48"/>
    <n v="2.8486077785491939"/>
    <n v="0.18171099998498652"/>
    <n v="0.13587169440697158"/>
  </r>
  <r>
    <x v="10"/>
    <n v="28"/>
    <n v="1.695941609675137"/>
    <n v="2.09"/>
    <n v="2.3038253784179692"/>
    <n v="0.15528201498542199"/>
    <n v="4.5721292455587786E-2"/>
  </r>
  <r>
    <x v="10"/>
    <n v="29"/>
    <n v="2.1485668950135879"/>
    <n v="2.64"/>
    <n v="2.68604564666748"/>
    <n v="0.24150649667658608"/>
    <n v="2.1202015770264027E-3"/>
  </r>
  <r>
    <x v="11"/>
    <n v="6"/>
    <n v="3.834680828189128"/>
    <n v="3.96"/>
    <n v="3.9141368865966801"/>
    <n v="1.5704894823362837E-2"/>
    <n v="2.1034251710457751E-3"/>
  </r>
  <r>
    <x v="11"/>
    <n v="7"/>
    <n v="5.8827375652565186"/>
    <n v="5.59"/>
    <n v="5.5570559501647949"/>
    <n v="8.5695282112314558E-2"/>
    <n v="1.0853104195444664E-3"/>
  </r>
  <r>
    <x v="11"/>
    <n v="8"/>
    <n v="7.6029615011133336"/>
    <n v="7.14"/>
    <n v="7.3216934204101563"/>
    <n v="0.21433335151311148"/>
    <n v="3.3012499020341902E-2"/>
  </r>
  <r>
    <x v="11"/>
    <n v="9"/>
    <n v="8.8279150147993235"/>
    <n v="8.09"/>
    <n v="8.0678291320800781"/>
    <n v="0.54451856906628604"/>
    <n v="4.9154738432261459E-4"/>
  </r>
  <r>
    <x v="11"/>
    <n v="10"/>
    <n v="9.2412631674874532"/>
    <n v="9.5"/>
    <n v="8.033848762512207"/>
    <n v="6.6944748498625667E-2"/>
    <n v="2.1495994511869867"/>
  </r>
  <r>
    <x v="11"/>
    <n v="11"/>
    <n v="9.1954154412331022"/>
    <n v="8.8800000000000008"/>
    <n v="7.7216768264770508"/>
    <n v="9.948690056827203E-2"/>
    <n v="1.3417125743202782"/>
  </r>
  <r>
    <x v="11"/>
    <n v="12"/>
    <n v="8.9111307938001687"/>
    <n v="9.59"/>
    <n v="7.4878110885620117"/>
    <n v="0.46086339912638885"/>
    <n v="4.4191982193728334"/>
  </r>
  <r>
    <x v="11"/>
    <n v="13"/>
    <n v="9.1030013723254299"/>
    <n v="9.64"/>
    <n v="8.2029218673706055"/>
    <n v="0.28836752612437211"/>
    <n v="2.0651935592815893"/>
  </r>
  <r>
    <x v="11"/>
    <n v="14"/>
    <n v="10.541527679785606"/>
    <n v="10.14"/>
    <n v="9.5878019332885742"/>
    <n v="0.1612244776340116"/>
    <n v="0.30492270487983686"/>
  </r>
  <r>
    <x v="11"/>
    <n v="15"/>
    <n v="12.324846135472074"/>
    <n v="11.91"/>
    <n v="11.309257507324221"/>
    <n v="0.17209731611611387"/>
    <n v="0.36089154250630912"/>
  </r>
  <r>
    <x v="11"/>
    <n v="16"/>
    <n v="14.690038350034961"/>
    <n v="14.07"/>
    <n v="13.426346778869631"/>
    <n v="0.38444755551407583"/>
    <n v="0.41428946907150049"/>
  </r>
  <r>
    <x v="11"/>
    <n v="17"/>
    <n v="16.534492377247492"/>
    <n v="15.59"/>
    <n v="15.20903396606445"/>
    <n v="0.89206585067861921"/>
    <n v="0.14513511901258286"/>
  </r>
  <r>
    <x v="11"/>
    <n v="18"/>
    <n v="18.51606559954768"/>
    <n v="18.3"/>
    <n v="17.61431884765625"/>
    <n v="4.6684343307898182E-2"/>
    <n v="0.4701586426794539"/>
  </r>
  <r>
    <x v="11"/>
    <n v="19"/>
    <n v="22.286449600101669"/>
    <n v="22.51"/>
    <n v="21.322360992431641"/>
    <n v="4.9974781294704416E-2"/>
    <n v="1.4104864122979612"/>
  </r>
  <r>
    <x v="11"/>
    <n v="20"/>
    <n v="24.928708692362193"/>
    <n v="23.77"/>
    <n v="23.582685470581051"/>
    <n v="1.3426058337557036"/>
    <n v="3.5086732931442099E-2"/>
  </r>
  <r>
    <x v="11"/>
    <n v="21"/>
    <n v="25.740932542458733"/>
    <n v="25.89"/>
    <n v="25.072538375854489"/>
    <n v="2.222110689781762E-2"/>
    <n v="0.66824350695061818"/>
  </r>
  <r>
    <x v="11"/>
    <n v="22"/>
    <n v="22.67457678626641"/>
    <n v="23.28"/>
    <n v="23.198945999145511"/>
    <n v="0.36653726772750927"/>
    <n v="6.5697510545196288E-3"/>
  </r>
  <r>
    <x v="11"/>
    <n v="23"/>
    <n v="14.568079086499994"/>
    <n v="15.56"/>
    <n v="15.74058151245117"/>
    <n v="0.98390709863868775"/>
    <n v="3.260968263915192E-2"/>
  </r>
  <r>
    <x v="11"/>
    <n v="24"/>
    <n v="8.4860404848001334"/>
    <n v="9.23"/>
    <n v="10.20309543609619"/>
    <n v="0.5534757602564212"/>
    <n v="0.94691472775123264"/>
  </r>
  <r>
    <x v="11"/>
    <n v="25"/>
    <n v="4.9937017967165565"/>
    <n v="5.7"/>
    <n v="6.3210639953613281"/>
    <n v="0.49885715196142077"/>
    <n v="0.38572048633417561"/>
  </r>
  <r>
    <x v="11"/>
    <n v="26"/>
    <n v="3.2907801150735612"/>
    <n v="3.53"/>
    <n v="4.0978512763977051"/>
    <n v="5.7226153344218544E-2"/>
    <n v="0.32245507210650309"/>
  </r>
  <r>
    <x v="11"/>
    <n v="27"/>
    <n v="2.3271703859849766"/>
    <n v="2.5299999999999998"/>
    <n v="3.0431642532348628"/>
    <n v="4.1139852321483296E-2"/>
    <n v="0.26333755079809462"/>
  </r>
  <r>
    <x v="11"/>
    <n v="28"/>
    <n v="1.9728058044827188"/>
    <n v="2.27"/>
    <n v="2.5005588531494141"/>
    <n v="8.8324389849163978E-2"/>
    <n v="5.3157384765573072E-2"/>
  </r>
  <r>
    <x v="11"/>
    <n v="29"/>
    <n v="2.4616627004996929"/>
    <n v="2.54"/>
    <n v="2.5532088279724121"/>
    <n v="6.1367324930008153E-3"/>
    <n v="1.7447313640477565E-4"/>
  </r>
  <r>
    <x v="12"/>
    <n v="6"/>
    <n v="3.9110541293258039"/>
    <n v="3.66"/>
    <n v="3.8440227508544922"/>
    <n v="6.3028175851537388E-2"/>
    <n v="3.386437283205445E-2"/>
  </r>
  <r>
    <x v="12"/>
    <n v="7"/>
    <n v="5.9423787654993916"/>
    <n v="5.29"/>
    <n v="5.581812858581543"/>
    <n v="0.42559805367451009"/>
    <n v="8.5154744433531576E-2"/>
  </r>
  <r>
    <x v="12"/>
    <n v="8"/>
    <n v="7.658948643691625"/>
    <n v="7.05"/>
    <n v="7.3353843688964844"/>
    <n v="0.37081845065386987"/>
    <n v="8.1444238010444786E-2"/>
  </r>
  <r>
    <x v="12"/>
    <n v="9"/>
    <n v="9.1409608627811441"/>
    <n v="7.9"/>
    <n v="8.618290901184082"/>
    <n v="1.5399838629545206"/>
    <n v="0.51594181872384015"/>
  </r>
  <r>
    <x v="12"/>
    <n v="10"/>
    <n v="9.3654247490939646"/>
    <n v="8.34"/>
    <n v="8.8033218383789063"/>
    <n v="1.0514959160544206"/>
    <n v="0.21466712591880946"/>
  </r>
  <r>
    <x v="12"/>
    <n v="11"/>
    <n v="9.2130125509899727"/>
    <n v="8.3000000000000007"/>
    <n v="8.7537145614624023"/>
    <n v="0.83359191826521628"/>
    <n v="0.20585690328301942"/>
  </r>
  <r>
    <x v="12"/>
    <n v="12"/>
    <n v="9.0801091142432941"/>
    <n v="9.17"/>
    <n v="8.8157939910888672"/>
    <n v="8.0803713421251314E-3"/>
    <n v="0.12546189674875344"/>
  </r>
  <r>
    <x v="12"/>
    <n v="13"/>
    <n v="9.6531789791142959"/>
    <n v="9.6999999999999993"/>
    <n v="9.3437166213989258"/>
    <n v="2.192207996779473E-3"/>
    <n v="0.12693784586739587"/>
  </r>
  <r>
    <x v="12"/>
    <n v="14"/>
    <n v="10.416479379344187"/>
    <n v="10.08"/>
    <n v="10.273233413696291"/>
    <n v="0.11321837272384924"/>
    <n v="3.7339152168721849E-2"/>
  </r>
  <r>
    <x v="12"/>
    <n v="15"/>
    <n v="11.798188659483536"/>
    <n v="10.61"/>
    <n v="11.856594085693359"/>
    <n v="1.4117922905252833"/>
    <n v="1.553996814485664"/>
  </r>
  <r>
    <x v="12"/>
    <n v="16"/>
    <n v="13.559477847859256"/>
    <n v="12.89"/>
    <n v="13.91305351257324"/>
    <n v="0.44820058877426028"/>
    <n v="1.0466384895884442"/>
  </r>
  <r>
    <x v="12"/>
    <n v="17"/>
    <n v="15.430462337611802"/>
    <n v="14.04"/>
    <n v="15.667427062988279"/>
    <n v="1.9333855123168791"/>
    <n v="2.6485188453466599"/>
  </r>
  <r>
    <x v="12"/>
    <n v="18"/>
    <n v="17.388551184210677"/>
    <n v="15.18"/>
    <n v="17.203292846679691"/>
    <n v="4.8776983332783832"/>
    <n v="4.0937139434252092"/>
  </r>
  <r>
    <x v="12"/>
    <n v="19"/>
    <n v="20.288349304765415"/>
    <n v="17.52"/>
    <n v="20.201934814453121"/>
    <n v="7.6637578731951583"/>
    <n v="7.1927743489757017"/>
  </r>
  <r>
    <x v="12"/>
    <n v="20"/>
    <n v="22.761845460357353"/>
    <n v="19.82"/>
    <n v="22.8332405090332"/>
    <n v="8.6544547126251654"/>
    <n v="9.0796183652786535"/>
  </r>
  <r>
    <x v="12"/>
    <n v="21"/>
    <n v="25.199425201438871"/>
    <n v="22.59"/>
    <n v="24.74973297119141"/>
    <n v="6.8090998819042916"/>
    <n v="4.6644465068512755"/>
  </r>
  <r>
    <x v="12"/>
    <n v="22"/>
    <n v="23.274721244219805"/>
    <n v="22.93"/>
    <n v="24.083856582641602"/>
    <n v="0.11883273621645052"/>
    <n v="1.3313850133053557"/>
  </r>
  <r>
    <x v="12"/>
    <n v="23"/>
    <n v="16.15323429172814"/>
    <n v="17.420000000000002"/>
    <n v="17.433897018432621"/>
    <n v="1.6046953596535121"/>
    <n v="1.9312712131655321E-4"/>
  </r>
  <r>
    <x v="12"/>
    <n v="24"/>
    <n v="10.27590292057557"/>
    <n v="11.9"/>
    <n v="11.539443969726561"/>
    <n v="2.6376913233949648"/>
    <n v="0.13000065096654151"/>
  </r>
  <r>
    <x v="12"/>
    <n v="25"/>
    <n v="6.3040124200437191"/>
    <n v="7.24"/>
    <n v="7.3387155532836914"/>
    <n v="0.87607274983241579"/>
    <n v="9.7447604601052749E-3"/>
  </r>
  <r>
    <x v="12"/>
    <n v="26"/>
    <n v="4.0182727189607474"/>
    <n v="3.94"/>
    <n v="4.2266621589660636"/>
    <n v="6.1266185335081616E-3"/>
    <n v="8.2175193383084724E-2"/>
  </r>
  <r>
    <x v="12"/>
    <n v="27"/>
    <n v="2.6660456840740232"/>
    <n v="2.5"/>
    <n v="2.9935483932495122"/>
    <n v="2.7571169199610324E-2"/>
    <n v="0.24359001647917511"/>
  </r>
  <r>
    <x v="12"/>
    <n v="28"/>
    <n v="2.1620772920441591"/>
    <n v="1.94"/>
    <n v="2.4081933498382568"/>
    <n v="4.9318323641666759E-2"/>
    <n v="0.21920501283276841"/>
  </r>
  <r>
    <x v="12"/>
    <n v="29"/>
    <n v="2.2587908665266512"/>
    <n v="1.94"/>
    <n v="2.530558824539185"/>
    <n v="0.10162761658081317"/>
    <n v="0.34875972524110399"/>
  </r>
  <r>
    <x v="13"/>
    <n v="6"/>
    <n v="3.4760464762316667"/>
    <n v="3.25"/>
    <n v="3.9238238334655762"/>
    <n v="5.1097009416753478E-2"/>
    <n v="0.45403855854624453"/>
  </r>
  <r>
    <x v="13"/>
    <n v="7"/>
    <n v="5.895635137708668"/>
    <n v="4.95"/>
    <n v="5.6374659538269043"/>
    <n v="0.8942258136692911"/>
    <n v="0.47260943767113506"/>
  </r>
  <r>
    <x v="13"/>
    <n v="8"/>
    <n v="9.4145228691230365"/>
    <n v="7.47"/>
    <n v="8.3259048461914063"/>
    <n v="3.7811691885424867"/>
    <n v="0.73257310573393519"/>
  </r>
  <r>
    <x v="13"/>
    <n v="9"/>
    <n v="11.863635562764069"/>
    <n v="10.199999999999999"/>
    <n v="10.59817600250244"/>
    <n v="2.7676832856933218"/>
    <n v="0.15854412896882339"/>
  </r>
  <r>
    <x v="13"/>
    <n v="10"/>
    <n v="12.941451188020373"/>
    <n v="11.9"/>
    <n v="11.811629295349119"/>
    <n v="1.0846205770290462"/>
    <n v="7.8093814404932476E-3"/>
  </r>
  <r>
    <x v="13"/>
    <n v="11"/>
    <n v="12.963437169419123"/>
    <n v="11.89"/>
    <n v="11.62843608856201"/>
    <n v="1.1522673566905379"/>
    <n v="6.8415679766740997E-2"/>
  </r>
  <r>
    <x v="13"/>
    <n v="12"/>
    <n v="12.362752518085872"/>
    <n v="12.27"/>
    <n v="11.668840408325201"/>
    <n v="8.603029611269998E-3"/>
    <n v="0.36139285466261101"/>
  </r>
  <r>
    <x v="13"/>
    <n v="13"/>
    <n v="12.67855915489748"/>
    <n v="13.01"/>
    <n v="12.05872917175293"/>
    <n v="0.10985303380227275"/>
    <n v="0.90491618867386669"/>
  </r>
  <r>
    <x v="13"/>
    <n v="14"/>
    <n v="14.009341713102389"/>
    <n v="12.62"/>
    <n v="13.02503681182861"/>
    <n v="1.9302703957662823"/>
    <n v="0.16405481893628523"/>
  </r>
  <r>
    <x v="13"/>
    <n v="15"/>
    <n v="14.882373625901792"/>
    <n v="12.95"/>
    <n v="13.982547760009769"/>
    <n v="3.7340678300808414"/>
    <n v="1.0661548767011932"/>
  </r>
  <r>
    <x v="13"/>
    <n v="16"/>
    <n v="15.21206158319767"/>
    <n v="13.55"/>
    <n v="15.026052474975589"/>
    <n v="2.762448706341543"/>
    <n v="2.178730908881561"/>
  </r>
  <r>
    <x v="13"/>
    <n v="17"/>
    <n v="15.669376278000584"/>
    <n v="13.88"/>
    <n v="15.366983413696291"/>
    <n v="3.2018674642712206"/>
    <n v="2.2111196726078721"/>
  </r>
  <r>
    <x v="13"/>
    <n v="18"/>
    <n v="16.438296402655258"/>
    <n v="14.94"/>
    <n v="15.71784591674805"/>
    <n v="2.2448921102096882"/>
    <n v="0.60504427020161577"/>
  </r>
  <r>
    <x v="13"/>
    <n v="19"/>
    <n v="19.744736037777031"/>
    <n v="18.38"/>
    <n v="18.242977142333981"/>
    <n v="1.8625044528073522"/>
    <n v="1.8775263522961879E-2"/>
  </r>
  <r>
    <x v="13"/>
    <n v="20"/>
    <n v="22.418757597922227"/>
    <n v="20.63"/>
    <n v="20.625967025756839"/>
    <n v="3.1996537441244977"/>
    <n v="1.6264881245988063E-5"/>
  </r>
  <r>
    <x v="13"/>
    <n v="21"/>
    <n v="23.545242385050528"/>
    <n v="21.74"/>
    <n v="22.16131591796875"/>
    <n v="3.2589000687829257"/>
    <n v="0.17750710273385178"/>
  </r>
  <r>
    <x v="13"/>
    <n v="22"/>
    <n v="22.286466143600332"/>
    <n v="23"/>
    <n v="22.829923629760739"/>
    <n v="0.50913056422858149"/>
    <n v="2.8925971713762308E-2"/>
  </r>
  <r>
    <x v="13"/>
    <n v="23"/>
    <n v="18.028127844434561"/>
    <n v="19.46"/>
    <n v="18.316343307495121"/>
    <n v="2.0502578698836191"/>
    <n v="1.3079506303112018"/>
  </r>
  <r>
    <x v="13"/>
    <n v="24"/>
    <n v="11.653230150339706"/>
    <n v="12.25"/>
    <n v="11.687587738037109"/>
    <n v="0.35613425346357019"/>
    <n v="0.31630755240621511"/>
  </r>
  <r>
    <x v="13"/>
    <n v="25"/>
    <n v="7.1605823857076709"/>
    <n v="7.48"/>
    <n v="7.2767333984375"/>
    <n v="0.10202761232020338"/>
    <n v="4.1317311310768302E-2"/>
  </r>
  <r>
    <x v="13"/>
    <n v="26"/>
    <n v="4.6362069767544858"/>
    <n v="5.0999999999999996"/>
    <n v="4.6260781288146973"/>
    <n v="0.21510396841121376"/>
    <n v="0.22460193998777833"/>
  </r>
  <r>
    <x v="13"/>
    <n v="27"/>
    <n v="3.1066357422307802"/>
    <n v="3.52"/>
    <n v="3.0851588249206539"/>
    <n v="0.17087000960109799"/>
    <n v="0.18908684754438659"/>
  </r>
  <r>
    <x v="13"/>
    <n v="28"/>
    <n v="2.2842825211102999"/>
    <n v="2.2799999999999998"/>
    <n v="2.206659317016602"/>
    <n v="1.8339987060166358E-5"/>
    <n v="5.3788557804712554E-3"/>
  </r>
  <r>
    <x v="13"/>
    <n v="29"/>
    <n v="2.2062784178818609"/>
    <n v="2.13"/>
    <n v="2.156848669052124"/>
    <n v="5.8183970345598059E-3"/>
    <n v="7.2085102987048803E-4"/>
  </r>
  <r>
    <x v="14"/>
    <n v="6"/>
    <n v="3.2488896204834794"/>
    <n v="3.34"/>
    <n v="3.5635638236999512"/>
    <n v="8.301101255644391E-3"/>
    <n v="4.9980783267342913E-2"/>
  </r>
  <r>
    <x v="14"/>
    <n v="7"/>
    <n v="5.7230175263809091"/>
    <n v="5.53"/>
    <n v="6.0988330841064453"/>
    <n v="3.7255765490204845E-2"/>
    <n v="0.32357107757405001"/>
  </r>
  <r>
    <x v="14"/>
    <n v="8"/>
    <n v="9.760303978694914"/>
    <n v="9.07"/>
    <n v="9.4536228179931641"/>
    <n v="0.47651958300202785"/>
    <n v="0.14716646648501605"/>
  </r>
  <r>
    <x v="14"/>
    <n v="9"/>
    <n v="14.145357684517997"/>
    <n v="13.55"/>
    <n v="13.73682308197021"/>
    <n v="0.35445077251462964"/>
    <n v="3.4902863956847358E-2"/>
  </r>
  <r>
    <x v="14"/>
    <n v="10"/>
    <n v="16.737752291567499"/>
    <n v="16.36"/>
    <n v="16.984355926513668"/>
    <n v="0.14269679378449754"/>
    <n v="0.38982032297274188"/>
  </r>
  <r>
    <x v="14"/>
    <n v="11"/>
    <n v="17.755649675755027"/>
    <n v="17.03"/>
    <n v="17.586359024047852"/>
    <n v="0.52656745192337429"/>
    <n v="0.30953536363947659"/>
  </r>
  <r>
    <x v="14"/>
    <n v="12"/>
    <n v="17.705265764623437"/>
    <n v="17.37"/>
    <n v="17.905048370361332"/>
    <n v="0.11240313292853737"/>
    <n v="0.28627675862631569"/>
  </r>
  <r>
    <x v="14"/>
    <n v="13"/>
    <n v="17.437520861308936"/>
    <n v="17.23"/>
    <n v="18.34937858581543"/>
    <n v="4.30649078784026E-2"/>
    <n v="1.2530084183821504"/>
  </r>
  <r>
    <x v="14"/>
    <n v="14"/>
    <n v="18.558671964924624"/>
    <n v="17.670000000000002"/>
    <n v="18.855575561523441"/>
    <n v="0.78973786124298928"/>
    <n v="1.4055894120816186"/>
  </r>
  <r>
    <x v="14"/>
    <n v="15"/>
    <n v="19.147866910190867"/>
    <n v="17.670000000000002"/>
    <n v="18.72282791137695"/>
    <n v="2.1840906042370958"/>
    <n v="1.1084466109743465"/>
  </r>
  <r>
    <x v="14"/>
    <n v="16"/>
    <n v="19.050598002540184"/>
    <n v="17.75"/>
    <n v="18.611434936523441"/>
    <n v="1.6915551642115165"/>
    <n v="0.7420701498631449"/>
  </r>
  <r>
    <x v="14"/>
    <n v="17"/>
    <n v="19.633195273390701"/>
    <n v="19.45"/>
    <n v="18.950077056884769"/>
    <n v="3.3560508192693912E-2"/>
    <n v="0.24992294905299361"/>
  </r>
  <r>
    <x v="14"/>
    <n v="18"/>
    <n v="21.259819693005863"/>
    <n v="21.99"/>
    <n v="20.82797813415527"/>
    <n v="0.53316328072205033"/>
    <n v="1.3502948167012643"/>
  </r>
  <r>
    <x v="14"/>
    <n v="19"/>
    <n v="25.419837003022412"/>
    <n v="24.8"/>
    <n v="24.48261833190918"/>
    <n v="0.38419791031580458"/>
    <n v="0.10073112324011207"/>
  </r>
  <r>
    <x v="14"/>
    <n v="20"/>
    <n v="27.711235597923444"/>
    <n v="25.92"/>
    <n v="27.01055908203125"/>
    <n v="3.2085249672681533"/>
    <n v="1.189319111400839"/>
  </r>
  <r>
    <x v="14"/>
    <n v="21"/>
    <n v="27.91749038385932"/>
    <n v="27.02"/>
    <n v="28.065679550170898"/>
    <n v="0.80548898911995082"/>
    <n v="1.0934457216456135"/>
  </r>
  <r>
    <x v="14"/>
    <n v="22"/>
    <n v="23.865701616117391"/>
    <n v="24.02"/>
    <n v="24.295331954956051"/>
    <n v="2.3807991268784724E-2"/>
    <n v="7.5807685419921209E-2"/>
  </r>
  <r>
    <x v="14"/>
    <n v="23"/>
    <n v="15.451171333888853"/>
    <n v="16.13"/>
    <n v="16.214145660400391"/>
    <n v="0.46080835793423774"/>
    <n v="7.080492164218034E-3"/>
  </r>
  <r>
    <x v="14"/>
    <n v="24"/>
    <n v="8.8289994847879001"/>
    <n v="9.43"/>
    <n v="10.337459564208981"/>
    <n v="0.36120161928520922"/>
    <n v="0.82348286067435394"/>
  </r>
  <r>
    <x v="14"/>
    <n v="25"/>
    <n v="5.4231561215019104"/>
    <n v="5.93"/>
    <n v="6.1870017051696777"/>
    <n v="0.25689071717098594"/>
    <n v="6.6049876460122101E-2"/>
  </r>
  <r>
    <x v="14"/>
    <n v="26"/>
    <n v="3.2486838047519404"/>
    <n v="4.01"/>
    <n v="3.730191707611084"/>
    <n v="0.57960234914698128"/>
    <n v="7.8292680489601002E-2"/>
  </r>
  <r>
    <x v="14"/>
    <n v="27"/>
    <n v="2.2739203524157467"/>
    <n v="2.94"/>
    <n v="2.7338812351226811"/>
    <n v="0.44366209692596292"/>
    <n v="4.2484945234551444E-2"/>
  </r>
  <r>
    <x v="14"/>
    <n v="28"/>
    <n v="1.8929667338812863"/>
    <n v="2.19"/>
    <n v="2.3008220195770259"/>
    <n v="8.8228761181150542E-2"/>
    <n v="1.2281520023130729E-2"/>
  </r>
  <r>
    <x v="14"/>
    <n v="29"/>
    <n v="2.3176717313483026"/>
    <n v="2.19"/>
    <n v="2.4679074287414551"/>
    <n v="1.6300070985473172E-2"/>
    <n v="7.7232538949686957E-2"/>
  </r>
  <r>
    <x v="15"/>
    <n v="6"/>
    <n v="3.9873913510894012"/>
    <n v="3.61"/>
    <n v="3.7869024276733398"/>
    <n v="0.14242423187708381"/>
    <n v="3.1294468916721281E-2"/>
  </r>
  <r>
    <x v="15"/>
    <n v="7"/>
    <n v="5.7885606111069388"/>
    <n v="5.36"/>
    <n v="5.6443920135498047"/>
    <n v="0.18366419739235251"/>
    <n v="8.0878817370912112E-2"/>
  </r>
  <r>
    <x v="15"/>
    <n v="8"/>
    <n v="7.5436784706891418"/>
    <n v="6.72"/>
    <n v="7.268132209777832"/>
    <n v="0.6784462230768038"/>
    <n v="0.30044891939592955"/>
  </r>
  <r>
    <x v="15"/>
    <n v="9"/>
    <n v="8.7336983043685894"/>
    <n v="7.72"/>
    <n v="8.4223785400390625"/>
    <n v="1.0275842522797538"/>
    <n v="0.49333561350740529"/>
  </r>
  <r>
    <x v="15"/>
    <n v="10"/>
    <n v="9.1407008683406907"/>
    <n v="8.3000000000000007"/>
    <n v="8.9081001281738281"/>
    <n v="0.70677795002879018"/>
    <n v="0.36978576588502532"/>
  </r>
  <r>
    <x v="15"/>
    <n v="11"/>
    <n v="9.4491448276427796"/>
    <n v="8.41"/>
    <n v="8.8364858627319336"/>
    <n v="1.079821972816742"/>
    <n v="0.18189019111020158"/>
  </r>
  <r>
    <x v="15"/>
    <n v="12"/>
    <n v="9.3693797851441918"/>
    <n v="8.41"/>
    <n v="8.9178323745727539"/>
    <n v="0.92040957214331531"/>
    <n v="0.25789372066420169"/>
  </r>
  <r>
    <x v="15"/>
    <n v="13"/>
    <n v="9.7382213755468285"/>
    <n v="8.9700000000000006"/>
    <n v="9.0544528961181641"/>
    <n v="0.59016408184706037"/>
    <n v="7.1322916627453029E-3"/>
  </r>
  <r>
    <x v="15"/>
    <n v="14"/>
    <n v="10.750307779531768"/>
    <n v="9.98"/>
    <n v="9.8910427093505859"/>
    <n v="0.59337407520716268"/>
    <n v="7.9133995596844062E-3"/>
  </r>
  <r>
    <x v="15"/>
    <n v="15"/>
    <n v="12.174656075650681"/>
    <n v="11.45"/>
    <n v="11.29916954040527"/>
    <n v="0.52512642797744646"/>
    <n v="2.2749827541557299E-2"/>
  </r>
  <r>
    <x v="15"/>
    <n v="16"/>
    <n v="14.416553018688104"/>
    <n v="13.54"/>
    <n v="13.15481662750244"/>
    <n v="0.76834519457122896"/>
    <n v="0.14836623044859368"/>
  </r>
  <r>
    <x v="15"/>
    <n v="17"/>
    <n v="16.565658541782927"/>
    <n v="15.29"/>
    <n v="15.13860511779785"/>
    <n v="1.6273047152237459"/>
    <n v="2.2920410357002683E-2"/>
  </r>
  <r>
    <x v="15"/>
    <n v="18"/>
    <n v="18.662140656174682"/>
    <n v="17.079999999999998"/>
    <n v="16.844316482543949"/>
    <n v="2.5031690559208575"/>
    <n v="5.5546720400455954E-2"/>
  </r>
  <r>
    <x v="15"/>
    <n v="19"/>
    <n v="23.420388478798845"/>
    <n v="22.21"/>
    <n v="20.295743942260739"/>
    <n v="1.4650402696089799"/>
    <n v="3.6643762545914615"/>
  </r>
  <r>
    <x v="15"/>
    <n v="20"/>
    <n v="25.680254746881118"/>
    <n v="24.75"/>
    <n v="23.560405731201168"/>
    <n v="0.86537389409485366"/>
    <n v="1.415134524359027"/>
  </r>
  <r>
    <x v="15"/>
    <n v="21"/>
    <n v="25.703493746768689"/>
    <n v="24.75"/>
    <n v="24.635723114013668"/>
    <n v="0.90915032512699379"/>
    <n v="1.3059206670733049E-2"/>
  </r>
  <r>
    <x v="15"/>
    <n v="22"/>
    <n v="22.080998999405615"/>
    <n v="22.34"/>
    <n v="21.552644729614261"/>
    <n v="6.7081518308892404E-2"/>
    <n v="0.61992832180419932"/>
  </r>
  <r>
    <x v="15"/>
    <n v="23"/>
    <n v="14.766463323104924"/>
    <n v="16.37"/>
    <n v="15.48518180847168"/>
    <n v="2.5713298741477062"/>
    <n v="0.78290323205944912"/>
  </r>
  <r>
    <x v="15"/>
    <n v="24"/>
    <n v="8.5823625995763884"/>
    <n v="9.59"/>
    <n v="10.368484497070311"/>
    <n v="1.0153331307324536"/>
    <n v="0.60603811217881487"/>
  </r>
  <r>
    <x v="15"/>
    <n v="25"/>
    <n v="5.1271147186589241"/>
    <n v="5.57"/>
    <n v="5.9705109596252441"/>
    <n v="0.1961473724285642"/>
    <n v="0.16040902877993371"/>
  </r>
  <r>
    <x v="15"/>
    <n v="26"/>
    <n v="3.138297924353024"/>
    <n v="3.63"/>
    <n v="4.1521248817443848"/>
    <n v="0.24177093119554438"/>
    <n v="0.27261439213658789"/>
  </r>
  <r>
    <x v="15"/>
    <n v="27"/>
    <n v="2.2563622332388662"/>
    <n v="2.52"/>
    <n v="2.884114265441895"/>
    <n v="6.9504872062797998E-2"/>
    <n v="0.13257919829829073"/>
  </r>
  <r>
    <x v="15"/>
    <n v="28"/>
    <n v="1.9328322995533846"/>
    <n v="2.06"/>
    <n v="2.0972802639007568"/>
    <n v="1.6171624036880109E-2"/>
    <n v="1.3898180765100692E-3"/>
  </r>
  <r>
    <x v="15"/>
    <n v="29"/>
    <n v="2.408628545444933"/>
    <n v="2.44"/>
    <n v="2.6413421630859379"/>
    <n v="9.8416816090063147E-4"/>
    <n v="4.0538666636124453E-2"/>
  </r>
  <r>
    <x v="16"/>
    <n v="6"/>
    <n v="4.109186247713728"/>
    <n v="4.24"/>
    <n v="4.3564023971557617"/>
    <n v="1.7112237787214196E-2"/>
    <n v="1.3549518063607635E-2"/>
  </r>
  <r>
    <x v="16"/>
    <n v="7"/>
    <n v="6.041748470649166"/>
    <n v="5.6"/>
    <n v="5.6966524124145508"/>
    <n v="0.19514171132087738"/>
    <n v="9.3416888255524778E-3"/>
  </r>
  <r>
    <x v="16"/>
    <n v="8"/>
    <n v="7.7461659657749813"/>
    <n v="6.95"/>
    <n v="7.2567386627197266"/>
    <n v="0.63388024505840834"/>
    <n v="9.4088607207086061E-2"/>
  </r>
  <r>
    <x v="16"/>
    <n v="9"/>
    <n v="8.9094029437709956"/>
    <n v="8.1300000000000008"/>
    <n v="8.3552331924438477"/>
    <n v="0.60746894875889257"/>
    <n v="5.0729990978446958E-2"/>
  </r>
  <r>
    <x v="16"/>
    <n v="10"/>
    <n v="9.2442350867222647"/>
    <n v="8.6"/>
    <n v="8.7276554107666016"/>
    <n v="0.41503884696404436"/>
    <n v="1.6295903897989863E-2"/>
  </r>
  <r>
    <x v="16"/>
    <n v="11"/>
    <n v="9.3578055609053052"/>
    <n v="8.01"/>
    <n v="8.7073135375976563"/>
    <n v="1.8165798300072651"/>
    <n v="0.48624616971695828"/>
  </r>
  <r>
    <x v="16"/>
    <n v="12"/>
    <n v="9.2891183675547033"/>
    <n v="8.3800000000000008"/>
    <n v="8.779515266418457"/>
    <n v="0.82649620622532727"/>
    <n v="0.15961244810141006"/>
  </r>
  <r>
    <x v="16"/>
    <n v="13"/>
    <n v="9.2491105868765846"/>
    <n v="8.69"/>
    <n v="9.0880403518676758"/>
    <n v="0.31260464835747942"/>
    <n v="0.15843612171494353"/>
  </r>
  <r>
    <x v="16"/>
    <n v="14"/>
    <n v="10.237952358323117"/>
    <n v="9.25"/>
    <n v="9.9939022064208984"/>
    <n v="0.97604986231620838"/>
    <n v="0.55339049271788099"/>
  </r>
  <r>
    <x v="16"/>
    <n v="15"/>
    <n v="11.899088317814249"/>
    <n v="10.62"/>
    <n v="11.62691593170166"/>
    <n v="1.6360669247688862"/>
    <n v="1.0138796935146239"/>
  </r>
  <r>
    <x v="16"/>
    <n v="16"/>
    <n v="14.28189939507479"/>
    <n v="11.92"/>
    <n v="13.60997486114502"/>
    <n v="5.5785687524546583"/>
    <n v="2.8560150313021282"/>
  </r>
  <r>
    <x v="16"/>
    <n v="17"/>
    <n v="16.595201613811664"/>
    <n v="13.62"/>
    <n v="15.558286666870121"/>
    <n v="8.851824642827534"/>
    <n v="3.7569552029664854"/>
  </r>
  <r>
    <x v="16"/>
    <n v="18"/>
    <n v="18.827041394822967"/>
    <n v="16.54"/>
    <n v="17.126420974731449"/>
    <n v="5.2305583416337846"/>
    <n v="0.34388955960498357"/>
  </r>
  <r>
    <x v="16"/>
    <n v="19"/>
    <n v="22.801954276440817"/>
    <n v="21.66"/>
    <n v="21.095024108886719"/>
    <n v="1.3040595694814701"/>
    <n v="0.3191977575392464"/>
  </r>
  <r>
    <x v="16"/>
    <n v="20"/>
    <n v="25.116440222101438"/>
    <n v="23.55"/>
    <n v="23.29366493225098"/>
    <n v="2.4537349694172015"/>
    <n v="6.5707666957894983E-2"/>
  </r>
  <r>
    <x v="16"/>
    <n v="21"/>
    <n v="25.676606391885382"/>
    <n v="24.42"/>
    <n v="24.298294067382809"/>
    <n v="1.579059624127195"/>
    <n v="1.4812334034220664E-2"/>
  </r>
  <r>
    <x v="16"/>
    <n v="22"/>
    <n v="22.388395729451062"/>
    <n v="23.45"/>
    <n v="22.925460815429691"/>
    <n v="1.1270036272477406"/>
    <n v="0.27514135614968388"/>
  </r>
  <r>
    <x v="16"/>
    <n v="23"/>
    <n v="14.725731230814425"/>
    <n v="17.18"/>
    <n v="16.478935241699219"/>
    <n v="6.0234351913996758"/>
    <n v="0.49149179533133242"/>
  </r>
  <r>
    <x v="16"/>
    <n v="24"/>
    <n v="8.2528916891726993"/>
    <n v="8.7100000000000009"/>
    <n v="9.3202934265136719"/>
    <n v="0.2089480078273889"/>
    <n v="0.3724580664457976"/>
  </r>
  <r>
    <x v="16"/>
    <n v="25"/>
    <n v="4.9175686406135233"/>
    <n v="4.99"/>
    <n v="6.0432467460632324"/>
    <n v="5.2463018225729803E-3"/>
    <n v="1.1093287080927867"/>
  </r>
  <r>
    <x v="16"/>
    <n v="26"/>
    <n v="3.2553040791956822"/>
    <n v="3.09"/>
    <n v="4.1582145690917969"/>
    <n v="2.7325438598732422E-2"/>
    <n v="1.1410823656199736"/>
  </r>
  <r>
    <x v="16"/>
    <n v="27"/>
    <n v="2.2274345122999057"/>
    <n v="2.0499999999999998"/>
    <n v="2.6285500526428218"/>
    <n v="3.1483006155105464E-2"/>
    <n v="0.33472016341301208"/>
  </r>
  <r>
    <x v="16"/>
    <n v="28"/>
    <n v="1.9288025672832814"/>
    <n v="1.91"/>
    <n v="2.2465107440948491"/>
    <n v="3.5353653644232583E-4"/>
    <n v="0.11323948089126906"/>
  </r>
  <r>
    <x v="16"/>
    <n v="29"/>
    <n v="2.3809960955927929"/>
    <n v="2.2999999999999998"/>
    <n v="2.7033495903015141"/>
    <n v="6.5603675012768752E-3"/>
    <n v="0.16269089199639944"/>
  </r>
  <r>
    <x v="17"/>
    <n v="6"/>
    <n v="4.1702393059907772"/>
    <n v="3.52"/>
    <n v="4.1276426315307617"/>
    <n v="0.42281115505536754"/>
    <n v="0.36922956765362902"/>
  </r>
  <r>
    <x v="17"/>
    <n v="7"/>
    <n v="6.1034988955836145"/>
    <n v="5.55"/>
    <n v="5.7244372367858887"/>
    <n v="0.30636102741228116"/>
    <n v="3.0428349577496253E-2"/>
  </r>
  <r>
    <x v="17"/>
    <n v="8"/>
    <n v="7.6625191028790836"/>
    <n v="6.42"/>
    <n v="7.1991329193115234"/>
    <n v="1.5438537210194427"/>
    <n v="0.607048105954897"/>
  </r>
  <r>
    <x v="17"/>
    <n v="9"/>
    <n v="8.6188290066278537"/>
    <n v="7.23"/>
    <n v="8.3619604110717773"/>
    <n v="1.9288460096509097"/>
    <n v="1.2813343722337862"/>
  </r>
  <r>
    <x v="17"/>
    <n v="10"/>
    <n v="9.0089782209570135"/>
    <n v="8.1"/>
    <n v="8.7564220428466797"/>
    <n v="0.82624140617417796"/>
    <n v="0.43088989833500863"/>
  </r>
  <r>
    <x v="17"/>
    <n v="11"/>
    <n v="8.9965083526077709"/>
    <n v="8.44"/>
    <n v="8.5998945236206055"/>
    <n v="0.30970154652221565"/>
    <n v="2.5566258683860518E-2"/>
  </r>
  <r>
    <x v="17"/>
    <n v="12"/>
    <n v="9.1164770860366851"/>
    <n v="8.6199999999999992"/>
    <n v="8.6900825500488281"/>
    <n v="0.24648949695947875"/>
    <n v="4.9115638213466086E-3"/>
  </r>
  <r>
    <x v="17"/>
    <n v="13"/>
    <n v="9.3575612074553671"/>
    <n v="8.94"/>
    <n v="9.1052064895629883"/>
    <n v="0.17435736197158455"/>
    <n v="2.7293184193725919E-2"/>
  </r>
  <r>
    <x v="17"/>
    <n v="14"/>
    <n v="10.29544580572948"/>
    <n v="10.17"/>
    <n v="10.0673713684082"/>
    <n v="1.5736650175118563E-2"/>
    <n v="1.0532636022405482E-2"/>
  </r>
  <r>
    <x v="17"/>
    <n v="15"/>
    <n v="12.087602385018739"/>
    <n v="11.15"/>
    <n v="11.73447895050049"/>
    <n v="0.87909823239282714"/>
    <n v="0.34161564357815388"/>
  </r>
  <r>
    <x v="17"/>
    <n v="16"/>
    <n v="14.316492453489882"/>
    <n v="13.52"/>
    <n v="13.843671798706049"/>
    <n v="0.63440022846633304"/>
    <n v="0.1047634332776096"/>
  </r>
  <r>
    <x v="17"/>
    <n v="17"/>
    <n v="16.622558107179028"/>
    <n v="14.67"/>
    <n v="15.7240104675293"/>
    <n v="3.8124831619105493"/>
    <n v="1.1109380656613346"/>
  </r>
  <r>
    <x v="17"/>
    <n v="18"/>
    <n v="18.629536835148002"/>
    <n v="15.37"/>
    <n v="17.220157623291019"/>
    <n v="10.624580379686659"/>
    <n v="3.4230832310218755"/>
  </r>
  <r>
    <x v="17"/>
    <n v="19"/>
    <n v="22.083390849707811"/>
    <n v="18.579999999999998"/>
    <n v="20.20758056640625"/>
    <n v="12.273747445816433"/>
    <n v="2.6490185001432951"/>
  </r>
  <r>
    <x v="17"/>
    <n v="20"/>
    <n v="24.791566014638327"/>
    <n v="21.34"/>
    <n v="22.749965667724609"/>
    <n v="11.913307953406308"/>
    <n v="1.988003184162104"/>
  </r>
  <r>
    <x v="17"/>
    <n v="21"/>
    <n v="25.663883384463524"/>
    <n v="24.67"/>
    <n v="24.79110145568848"/>
    <n v="0.98780418191266639"/>
    <n v="1.46655625698685E-2"/>
  </r>
  <r>
    <x v="17"/>
    <n v="22"/>
    <n v="22.884950839606919"/>
    <n v="23.11"/>
    <n v="23.366743087768551"/>
    <n v="5.0647124593630438E-2"/>
    <n v="6.591701311693024E-2"/>
  </r>
  <r>
    <x v="17"/>
    <n v="23"/>
    <n v="14.614334542352426"/>
    <n v="15.23"/>
    <n v="15.876235961914061"/>
    <n v="0.37904395574039779"/>
    <n v="0.41762091847099081"/>
  </r>
  <r>
    <x v="17"/>
    <n v="24"/>
    <n v="8.7543112755417187"/>
    <n v="9.57"/>
    <n v="10.151626586914061"/>
    <n v="0.66534809520837834"/>
    <n v="0.33828948660529912"/>
  </r>
  <r>
    <x v="17"/>
    <n v="25"/>
    <n v="5.4195581462607452"/>
    <n v="5.92"/>
    <n v="6.3750224113464364"/>
    <n v="0.25044204897398165"/>
    <n v="0.207045394827525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19D5B-AA2F-4957-B3BA-C04BBFC3F5C1}" name="Tabela przestawna1" cacheId="93" applyNumberFormats="0" applyBorderFormats="0" applyFontFormats="0" applyPatternFormats="0" applyAlignmentFormats="0" applyWidthHeightFormats="1" dataCaption="Wartości" updatedVersion="6" minRefreshableVersion="3" useAutoFormatting="1" rowGrandTotals="0" itemPrintTitles="1" createdVersion="6" indent="0" outline="1" outlineData="1" multipleFieldFilters="0">
  <location ref="A3:D18" firstHeaderRow="0" firstDataRow="1" firstDataCol="1"/>
  <pivotFields count="7">
    <pivotField axis="axisRow"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numFmtId="164" showAll="0"/>
    <pivotField dataField="1" numFmtId="43" showAll="0"/>
    <pivotField dataField="1" showAll="0"/>
    <pivotField showAll="0"/>
    <pivotField showAll="0"/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ATV A16-59" fld="2" subtotal="average" baseField="0" baseItem="0"/>
    <dataField name="Średnia z mujProg" fld="4" subtotal="average" baseField="0" baseItem="0"/>
    <dataField name="Średnia z real" fld="3" subtotal="average" baseField="0" baseItem="0"/>
  </dataFields>
  <formats count="1">
    <format dxfId="1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filters count="1">
    <filter fld="0" type="dateBetween" evalOrder="-1" id="4">
      <autoFilter ref="A1">
        <filterColumn colId="0">
          <customFilters and="1">
            <customFilter operator="greaterThanOrEqual" val="46181"/>
            <customFilter operator="lessThanOrEqual" val="4619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CA938-7DED-4405-B0A7-1666A6CBD8F8}" name="Tabela przestawna1" cacheId="10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D22" firstHeaderRow="0" firstDataRow="1" firstDataCol="1"/>
  <pivotFields count="7">
    <pivotField axis="axisRow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dataField="1" numFmtId="43" showAll="0"/>
    <pivotField dataField="1"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ATV A16-59" fld="2" subtotal="average" baseField="0" baseItem="0"/>
    <dataField name="Średnia z mujProg" fld="4" subtotal="average" baseField="0" baseItem="0"/>
    <dataField name="Średnia z real" fld="3" subtotal="average" baseField="0" baseItem="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1">
            <reference field="0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9521-287C-4BD9-945E-2E08B6194ADF}">
  <dimension ref="A3:F20"/>
  <sheetViews>
    <sheetView workbookViewId="0">
      <selection activeCell="C7" sqref="A7:C7"/>
    </sheetView>
  </sheetViews>
  <sheetFormatPr defaultRowHeight="15" x14ac:dyDescent="0.25"/>
  <cols>
    <col min="1" max="1" width="17.7109375" bestFit="1" customWidth="1"/>
    <col min="2" max="2" width="19.7109375" bestFit="1" customWidth="1"/>
    <col min="3" max="3" width="17" bestFit="1" customWidth="1"/>
    <col min="4" max="4" width="12.85546875" bestFit="1" customWidth="1"/>
  </cols>
  <sheetData>
    <row r="3" spans="1:6" x14ac:dyDescent="0.25">
      <c r="A3" s="9" t="s">
        <v>7</v>
      </c>
      <c r="B3" t="s">
        <v>8</v>
      </c>
      <c r="C3" t="s">
        <v>9</v>
      </c>
      <c r="D3" t="s">
        <v>10</v>
      </c>
    </row>
    <row r="4" spans="1:6" x14ac:dyDescent="0.25">
      <c r="A4" s="10">
        <v>46181</v>
      </c>
      <c r="B4" s="11">
        <v>11.35973625436843</v>
      </c>
      <c r="C4" s="11">
        <v>10.66134258111318</v>
      </c>
      <c r="D4" s="11">
        <v>10.765833333333333</v>
      </c>
      <c r="E4">
        <f>(B4-D4)^2</f>
        <v>0.35272067961402065</v>
      </c>
      <c r="F4">
        <f>(C4-D4)^2</f>
        <v>1.0918317299533414E-2</v>
      </c>
    </row>
    <row r="5" spans="1:6" x14ac:dyDescent="0.25">
      <c r="A5" s="10">
        <v>46182</v>
      </c>
      <c r="B5" s="11">
        <v>11.330802155871384</v>
      </c>
      <c r="C5" s="11">
        <v>10.448847949504852</v>
      </c>
      <c r="D5" s="11">
        <v>10.766666666666667</v>
      </c>
      <c r="E5">
        <f t="shared" ref="E5:E18" si="0">(B5-D5)^2</f>
        <v>0.3182488501802444</v>
      </c>
      <c r="F5">
        <f t="shared" ref="F5:F18" si="1">(C5-D5)^2</f>
        <v>0.10100873697838189</v>
      </c>
    </row>
    <row r="6" spans="1:6" x14ac:dyDescent="0.25">
      <c r="A6" s="10">
        <v>46183</v>
      </c>
      <c r="B6" s="11">
        <v>11.278533309491849</v>
      </c>
      <c r="C6" s="11">
        <v>10.630542178948721</v>
      </c>
      <c r="D6" s="11">
        <v>11.434583333333334</v>
      </c>
      <c r="E6">
        <f t="shared" si="0"/>
        <v>2.4351609940928255E-2</v>
      </c>
      <c r="F6">
        <f t="shared" si="1"/>
        <v>0.64648217794414164</v>
      </c>
    </row>
    <row r="7" spans="1:6" x14ac:dyDescent="0.25">
      <c r="A7" s="10">
        <v>46184</v>
      </c>
      <c r="B7" s="11">
        <v>11.413712738286266</v>
      </c>
      <c r="C7" s="11">
        <v>10.587955296039581</v>
      </c>
      <c r="D7" s="11">
        <v>11.93125</v>
      </c>
      <c r="E7">
        <f t="shared" si="0"/>
        <v>0.26784481726215015</v>
      </c>
      <c r="F7">
        <f t="shared" si="1"/>
        <v>1.8044406616881099</v>
      </c>
    </row>
    <row r="8" spans="1:6" x14ac:dyDescent="0.25">
      <c r="A8" s="10">
        <v>46185</v>
      </c>
      <c r="B8" s="11">
        <v>11.231431255633398</v>
      </c>
      <c r="C8" s="11">
        <v>10.651896198590597</v>
      </c>
      <c r="D8" s="11">
        <v>10.98958333333333</v>
      </c>
      <c r="E8">
        <f t="shared" si="0"/>
        <v>5.8490417520859414E-2</v>
      </c>
      <c r="F8">
        <f t="shared" si="1"/>
        <v>0.11403260097075689</v>
      </c>
    </row>
    <row r="9" spans="1:6" x14ac:dyDescent="0.25">
      <c r="A9" s="10">
        <v>46186</v>
      </c>
      <c r="B9" s="11">
        <v>12.322386260057035</v>
      </c>
      <c r="C9" s="11">
        <v>11.807625462611517</v>
      </c>
      <c r="D9" s="11">
        <v>12.957916666666668</v>
      </c>
      <c r="E9">
        <f t="shared" si="0"/>
        <v>0.4038988977254046</v>
      </c>
      <c r="F9">
        <f t="shared" si="1"/>
        <v>1.3231698541266483</v>
      </c>
    </row>
    <row r="10" spans="1:6" x14ac:dyDescent="0.25">
      <c r="A10" s="10">
        <v>46187</v>
      </c>
      <c r="B10" s="11">
        <v>14.424854147964565</v>
      </c>
      <c r="C10" s="11">
        <v>13.903910169998804</v>
      </c>
      <c r="D10" s="11">
        <v>16.170416666666664</v>
      </c>
      <c r="E10">
        <f t="shared" si="0"/>
        <v>3.0469885066976174</v>
      </c>
      <c r="F10">
        <f t="shared" si="1"/>
        <v>5.1370516994376176</v>
      </c>
    </row>
    <row r="11" spans="1:6" x14ac:dyDescent="0.25">
      <c r="A11" s="10">
        <v>46188</v>
      </c>
      <c r="B11" s="11">
        <v>11.301026572733543</v>
      </c>
      <c r="C11" s="11">
        <v>10.978486786286036</v>
      </c>
      <c r="D11" s="11">
        <v>12.296666666666667</v>
      </c>
      <c r="E11">
        <f t="shared" si="0"/>
        <v>0.99129919664716049</v>
      </c>
      <c r="F11">
        <f t="shared" si="1"/>
        <v>1.7375981970402954</v>
      </c>
    </row>
    <row r="12" spans="1:6" x14ac:dyDescent="0.25">
      <c r="A12" s="10">
        <v>46189</v>
      </c>
      <c r="B12" s="11">
        <v>11.265887229613233</v>
      </c>
      <c r="C12" s="11">
        <v>10.790637890497843</v>
      </c>
      <c r="D12" s="11">
        <v>11.411666666666667</v>
      </c>
      <c r="E12">
        <f t="shared" si="0"/>
        <v>2.1251644267616252E-2</v>
      </c>
      <c r="F12">
        <f t="shared" si="1"/>
        <v>0.38567674082974762</v>
      </c>
    </row>
    <row r="13" spans="1:6" x14ac:dyDescent="0.25">
      <c r="A13" s="10">
        <v>46190</v>
      </c>
      <c r="B13" s="11">
        <v>11.212175596745231</v>
      </c>
      <c r="C13" s="11">
        <v>10.89416523774465</v>
      </c>
      <c r="D13" s="11">
        <v>11.308333333333332</v>
      </c>
      <c r="E13">
        <f t="shared" si="0"/>
        <v>9.2463103057465329E-3</v>
      </c>
      <c r="F13">
        <f t="shared" si="1"/>
        <v>0.1715352114035556</v>
      </c>
    </row>
    <row r="14" spans="1:6" x14ac:dyDescent="0.25">
      <c r="A14" s="10">
        <v>46191</v>
      </c>
      <c r="B14" s="11">
        <v>11.205707659230789</v>
      </c>
      <c r="C14" s="11">
        <v>10.991472274065018</v>
      </c>
      <c r="D14" s="11">
        <v>11.21708333333333</v>
      </c>
      <c r="E14">
        <f t="shared" si="0"/>
        <v>1.2940596128720253E-4</v>
      </c>
      <c r="F14">
        <f t="shared" si="1"/>
        <v>5.0900350064169708E-2</v>
      </c>
    </row>
    <row r="15" spans="1:6" x14ac:dyDescent="0.25">
      <c r="A15" s="10">
        <v>46192</v>
      </c>
      <c r="B15" s="11">
        <v>11.163371025332642</v>
      </c>
      <c r="C15" s="11">
        <v>11.547537952661514</v>
      </c>
      <c r="D15" s="11">
        <v>10.497916666666667</v>
      </c>
      <c r="E15">
        <f t="shared" si="0"/>
        <v>0.44282950346754485</v>
      </c>
      <c r="F15">
        <f t="shared" si="1"/>
        <v>1.1017048440134773</v>
      </c>
    </row>
    <row r="16" spans="1:6" x14ac:dyDescent="0.25">
      <c r="A16" s="10">
        <v>46193</v>
      </c>
      <c r="B16" s="11">
        <v>12.286584828413226</v>
      </c>
      <c r="C16" s="11">
        <v>11.915218482414881</v>
      </c>
      <c r="D16" s="11">
        <v>11.61875</v>
      </c>
      <c r="E16">
        <f t="shared" si="0"/>
        <v>0.44600335804172192</v>
      </c>
      <c r="F16">
        <f t="shared" si="1"/>
        <v>8.7893561065382278E-2</v>
      </c>
    </row>
    <row r="17" spans="1:6" x14ac:dyDescent="0.25">
      <c r="A17" s="10">
        <v>46194</v>
      </c>
      <c r="B17" s="11">
        <v>14.354780975453457</v>
      </c>
      <c r="C17" s="11">
        <v>14.12957458694776</v>
      </c>
      <c r="D17" s="11">
        <v>14.107916666666666</v>
      </c>
      <c r="E17">
        <f t="shared" si="0"/>
        <v>6.0941986952779768E-2</v>
      </c>
      <c r="F17">
        <f t="shared" si="1"/>
        <v>4.6906551090219545E-4</v>
      </c>
    </row>
    <row r="18" spans="1:6" x14ac:dyDescent="0.25">
      <c r="A18" s="10">
        <v>46195</v>
      </c>
      <c r="B18" s="11">
        <v>11.309053720064226</v>
      </c>
      <c r="C18" s="11">
        <v>11.011838634808859</v>
      </c>
      <c r="D18" s="11">
        <v>10.877916666666669</v>
      </c>
      <c r="E18">
        <f t="shared" si="0"/>
        <v>0.18587915881232728</v>
      </c>
      <c r="F18">
        <f t="shared" si="1"/>
        <v>1.7935093551077617E-2</v>
      </c>
    </row>
    <row r="20" spans="1:6" x14ac:dyDescent="0.25">
      <c r="E20">
        <f>SUM(E4:E18)</f>
        <v>6.6301243433974086</v>
      </c>
      <c r="F20">
        <f>SUM(F4:F18)</f>
        <v>12.690817111923799</v>
      </c>
    </row>
  </sheetData>
  <conditionalFormatting pivot="1" sqref="B4:D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3BE0-BA29-4106-8675-8842F8472038}">
  <dimension ref="A3:D22"/>
  <sheetViews>
    <sheetView workbookViewId="0">
      <selection activeCell="C8" sqref="C8:C16"/>
    </sheetView>
  </sheetViews>
  <sheetFormatPr defaultRowHeight="15" x14ac:dyDescent="0.25"/>
  <cols>
    <col min="1" max="1" width="17.7109375" bestFit="1" customWidth="1"/>
    <col min="2" max="2" width="19.7109375" bestFit="1" customWidth="1"/>
    <col min="3" max="3" width="17" bestFit="1" customWidth="1"/>
    <col min="4" max="4" width="12.85546875" bestFit="1" customWidth="1"/>
  </cols>
  <sheetData>
    <row r="3" spans="1:4" x14ac:dyDescent="0.25">
      <c r="A3" s="9" t="s">
        <v>7</v>
      </c>
      <c r="B3" t="s">
        <v>8</v>
      </c>
      <c r="C3" t="s">
        <v>9</v>
      </c>
      <c r="D3" t="s">
        <v>10</v>
      </c>
    </row>
    <row r="4" spans="1:4" x14ac:dyDescent="0.25">
      <c r="A4" s="10">
        <v>46180</v>
      </c>
      <c r="B4" s="11">
        <v>2.4333106555993194</v>
      </c>
      <c r="C4" s="11">
        <v>2.3809602856636047</v>
      </c>
      <c r="D4" s="11">
        <v>2.375</v>
      </c>
    </row>
    <row r="5" spans="1:4" x14ac:dyDescent="0.25">
      <c r="A5" s="10">
        <v>46181</v>
      </c>
      <c r="B5" s="11">
        <v>11.35973625436843</v>
      </c>
      <c r="C5" s="11">
        <v>10.694163173437119</v>
      </c>
      <c r="D5" s="11">
        <v>10.765833333333333</v>
      </c>
    </row>
    <row r="6" spans="1:4" x14ac:dyDescent="0.25">
      <c r="A6" s="10">
        <v>46182</v>
      </c>
      <c r="B6" s="11">
        <v>11.330802155871384</v>
      </c>
      <c r="C6" s="11">
        <v>10.468917806943258</v>
      </c>
      <c r="D6" s="11">
        <v>10.766666666666667</v>
      </c>
    </row>
    <row r="7" spans="1:4" x14ac:dyDescent="0.25">
      <c r="A7" s="10">
        <v>46183</v>
      </c>
      <c r="B7" s="11">
        <v>11.278533309491849</v>
      </c>
      <c r="C7" s="11">
        <v>10.750525077184042</v>
      </c>
      <c r="D7" s="11">
        <v>11.434583333333334</v>
      </c>
    </row>
    <row r="8" spans="1:4" x14ac:dyDescent="0.25">
      <c r="A8" s="10">
        <v>46184</v>
      </c>
      <c r="B8" s="11">
        <v>11.413712738286266</v>
      </c>
      <c r="C8" s="11">
        <v>10.533012121915817</v>
      </c>
      <c r="D8" s="11">
        <v>11.93125</v>
      </c>
    </row>
    <row r="9" spans="1:4" x14ac:dyDescent="0.25">
      <c r="A9" s="10">
        <v>46185</v>
      </c>
      <c r="B9" s="11">
        <v>11.231431255633398</v>
      </c>
      <c r="C9" s="11">
        <v>11.057359407345453</v>
      </c>
      <c r="D9" s="11">
        <v>10.98958333333333</v>
      </c>
    </row>
    <row r="10" spans="1:4" x14ac:dyDescent="0.25">
      <c r="A10" s="10">
        <v>46186</v>
      </c>
      <c r="B10" s="11">
        <v>12.322386260057035</v>
      </c>
      <c r="C10" s="11">
        <v>11.560140371322632</v>
      </c>
      <c r="D10" s="11">
        <v>12.957916666666668</v>
      </c>
    </row>
    <row r="11" spans="1:4" x14ac:dyDescent="0.25">
      <c r="A11" s="10">
        <v>46187</v>
      </c>
      <c r="B11" s="11">
        <v>14.424854147964565</v>
      </c>
      <c r="C11" s="11">
        <v>14.232984473307928</v>
      </c>
      <c r="D11" s="11">
        <v>16.170416666666664</v>
      </c>
    </row>
    <row r="12" spans="1:4" x14ac:dyDescent="0.25">
      <c r="A12" s="10">
        <v>46188</v>
      </c>
      <c r="B12" s="11">
        <v>11.301026572733543</v>
      </c>
      <c r="C12" s="11">
        <v>10.887447704871496</v>
      </c>
      <c r="D12" s="11">
        <v>12.296666666666667</v>
      </c>
    </row>
    <row r="13" spans="1:4" x14ac:dyDescent="0.25">
      <c r="A13" s="10">
        <v>46189</v>
      </c>
      <c r="B13" s="11">
        <v>11.265887229613233</v>
      </c>
      <c r="C13" s="11">
        <v>10.832989881436029</v>
      </c>
      <c r="D13" s="11">
        <v>11.411666666666667</v>
      </c>
    </row>
    <row r="14" spans="1:4" x14ac:dyDescent="0.25">
      <c r="A14" s="10">
        <v>46190</v>
      </c>
      <c r="B14" s="11">
        <v>11.212175596745231</v>
      </c>
      <c r="C14" s="11">
        <v>10.95032494266828</v>
      </c>
      <c r="D14" s="11">
        <v>11.308333333333332</v>
      </c>
    </row>
    <row r="15" spans="1:4" x14ac:dyDescent="0.25">
      <c r="A15" s="10">
        <v>46191</v>
      </c>
      <c r="B15" s="11">
        <v>11.205707659230789</v>
      </c>
      <c r="C15" s="11">
        <v>10.878741165002188</v>
      </c>
      <c r="D15" s="11">
        <v>11.21708333333333</v>
      </c>
    </row>
    <row r="16" spans="1:4" x14ac:dyDescent="0.25">
      <c r="A16" s="10">
        <v>46192</v>
      </c>
      <c r="B16" s="11">
        <v>11.163371025332642</v>
      </c>
      <c r="C16" s="11">
        <v>11.264560123284658</v>
      </c>
      <c r="D16" s="11">
        <v>10.497916666666667</v>
      </c>
    </row>
    <row r="17" spans="1:4" x14ac:dyDescent="0.25">
      <c r="A17" s="10">
        <v>46193</v>
      </c>
      <c r="B17" s="11">
        <v>12.286584828413226</v>
      </c>
      <c r="C17" s="11">
        <v>11.749461044867834</v>
      </c>
      <c r="D17" s="11">
        <v>11.61875</v>
      </c>
    </row>
    <row r="18" spans="1:4" x14ac:dyDescent="0.25">
      <c r="A18" s="10">
        <v>46194</v>
      </c>
      <c r="B18" s="11">
        <v>14.354780975453457</v>
      </c>
      <c r="C18" s="11">
        <v>14.477978189786276</v>
      </c>
      <c r="D18" s="11">
        <v>14.107916666666666</v>
      </c>
    </row>
    <row r="19" spans="1:4" x14ac:dyDescent="0.25">
      <c r="A19" s="10">
        <v>46195</v>
      </c>
      <c r="B19" s="11">
        <v>11.309053720064226</v>
      </c>
      <c r="C19" s="11">
        <v>10.867090970277786</v>
      </c>
      <c r="D19" s="11">
        <v>10.877916666666666</v>
      </c>
    </row>
    <row r="20" spans="1:4" x14ac:dyDescent="0.25">
      <c r="A20" s="10">
        <v>46196</v>
      </c>
      <c r="B20" s="11">
        <v>11.227503406027731</v>
      </c>
      <c r="C20" s="11">
        <v>11.00310817360878</v>
      </c>
      <c r="D20" s="11">
        <v>10.577500000000002</v>
      </c>
    </row>
    <row r="21" spans="1:4" x14ac:dyDescent="0.25">
      <c r="A21" s="10">
        <v>46197</v>
      </c>
      <c r="B21" s="11">
        <v>12.959912090863739</v>
      </c>
      <c r="C21" s="11">
        <v>12.633637237548829</v>
      </c>
      <c r="D21" s="11">
        <v>12.006</v>
      </c>
    </row>
    <row r="22" spans="1:4" x14ac:dyDescent="0.25">
      <c r="A22" s="10" t="s">
        <v>11</v>
      </c>
      <c r="B22" s="11">
        <v>11.758413273741573</v>
      </c>
      <c r="C22" s="11">
        <v>11.360803668989854</v>
      </c>
      <c r="D22" s="11">
        <v>11.725343137254905</v>
      </c>
    </row>
  </sheetData>
  <conditionalFormatting pivot="1" sqref="B4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8C9B-7804-416B-9084-FA779DF5A6D8}">
  <dimension ref="A1:Q411"/>
  <sheetViews>
    <sheetView tabSelected="1" topLeftCell="A334" workbookViewId="0">
      <selection activeCell="P281" sqref="P281"/>
    </sheetView>
  </sheetViews>
  <sheetFormatPr defaultRowHeight="15" x14ac:dyDescent="0.25"/>
  <cols>
    <col min="1" max="1" width="10.42578125" bestFit="1" customWidth="1"/>
    <col min="3" max="3" width="11" bestFit="1" customWidth="1"/>
    <col min="15" max="16" width="9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2" t="s">
        <v>3</v>
      </c>
      <c r="E1" s="8" t="s">
        <v>4</v>
      </c>
      <c r="F1" s="8" t="s">
        <v>5</v>
      </c>
      <c r="G1" s="8" t="s">
        <v>6</v>
      </c>
      <c r="K1" t="s">
        <v>15</v>
      </c>
      <c r="L1" t="s">
        <v>13</v>
      </c>
      <c r="M1" t="s">
        <v>12</v>
      </c>
      <c r="N1" t="s">
        <v>14</v>
      </c>
    </row>
    <row r="2" spans="1:17" x14ac:dyDescent="0.25">
      <c r="A2" s="3">
        <v>46180</v>
      </c>
      <c r="B2" s="4">
        <v>26</v>
      </c>
      <c r="C2" s="5">
        <v>3.2486838047519404</v>
      </c>
      <c r="D2" s="6">
        <v>3.21</v>
      </c>
      <c r="E2">
        <v>3.2141704559326172</v>
      </c>
      <c r="F2">
        <f>(C2-D2)^2</f>
        <v>1.4964367500862499E-3</v>
      </c>
      <c r="G2">
        <f t="shared" ref="G2:G65" si="0">(D2-E2)^2</f>
        <v>1.7392702685902191E-5</v>
      </c>
      <c r="K2">
        <v>3.2141704559326172</v>
      </c>
      <c r="L2" s="15">
        <v>3.2369389533996582</v>
      </c>
      <c r="M2" s="15">
        <v>3.3012838363647461</v>
      </c>
      <c r="O2" s="11">
        <f t="shared" ref="O2:O65" si="1">(K2-$D2)^2</f>
        <v>1.7392702685902191E-5</v>
      </c>
      <c r="P2" s="11">
        <f>(L2-$D2)^2</f>
        <v>7.2570721026895819E-4</v>
      </c>
      <c r="Q2" s="11">
        <f>(M2-$D2)^2</f>
        <v>8.3327387814657473E-3</v>
      </c>
    </row>
    <row r="3" spans="1:17" x14ac:dyDescent="0.25">
      <c r="A3" s="3">
        <v>46180</v>
      </c>
      <c r="B3" s="4">
        <v>27</v>
      </c>
      <c r="C3" s="5">
        <v>2.2739203524157467</v>
      </c>
      <c r="D3" s="6">
        <v>2.2999999999999998</v>
      </c>
      <c r="E3">
        <v>2.2143607139587398</v>
      </c>
      <c r="F3">
        <f t="shared" ref="F3:G66" si="2">(C3-D3)^2</f>
        <v>6.8014801811883715E-4</v>
      </c>
      <c r="G3">
        <f t="shared" si="0"/>
        <v>7.3340873136567555E-3</v>
      </c>
      <c r="K3">
        <v>2.2143607139587398</v>
      </c>
      <c r="L3" s="15">
        <v>2.2209570407867432</v>
      </c>
      <c r="M3" s="15">
        <v>2.201346874237061</v>
      </c>
      <c r="O3" s="11">
        <f t="shared" si="1"/>
        <v>7.3340873136567555E-3</v>
      </c>
      <c r="P3" s="11">
        <f>(L3-$D3)^2</f>
        <v>6.2477894011885556E-3</v>
      </c>
      <c r="Q3" s="11">
        <f>(M3-$D3)^2</f>
        <v>9.732439222798225E-3</v>
      </c>
    </row>
    <row r="4" spans="1:17" x14ac:dyDescent="0.25">
      <c r="A4" s="3">
        <v>46180</v>
      </c>
      <c r="B4" s="4">
        <v>28</v>
      </c>
      <c r="C4" s="5">
        <v>1.8929667338812863</v>
      </c>
      <c r="D4" s="6">
        <v>1.86</v>
      </c>
      <c r="E4">
        <v>1.8068573474884031</v>
      </c>
      <c r="F4">
        <f t="shared" si="2"/>
        <v>1.0868055427995459E-3</v>
      </c>
      <c r="G4">
        <f t="shared" si="0"/>
        <v>2.8241415159683467E-3</v>
      </c>
      <c r="K4">
        <v>1.8068573474884031</v>
      </c>
      <c r="L4" s="15">
        <v>1.7884283065795901</v>
      </c>
      <c r="M4" s="15">
        <v>1.750935554504395</v>
      </c>
      <c r="O4" s="11">
        <f t="shared" si="1"/>
        <v>2.8241415159683467E-3</v>
      </c>
      <c r="P4" s="11">
        <f>(L4-$D4)^2</f>
        <v>5.1225072990651642E-3</v>
      </c>
      <c r="Q4" s="11">
        <f>(M4-$D4)^2</f>
        <v>1.189505327126382E-2</v>
      </c>
    </row>
    <row r="5" spans="1:17" x14ac:dyDescent="0.25">
      <c r="A5" s="7">
        <v>46180</v>
      </c>
      <c r="B5" s="4">
        <v>29</v>
      </c>
      <c r="C5" s="5">
        <v>2.3176717313483026</v>
      </c>
      <c r="D5" s="6">
        <v>2.13</v>
      </c>
      <c r="E5">
        <v>2.2365319728851318</v>
      </c>
      <c r="F5">
        <f t="shared" si="2"/>
        <v>3.5220678747269515E-2</v>
      </c>
      <c r="G5">
        <f t="shared" si="0"/>
        <v>1.1349061246798487E-2</v>
      </c>
      <c r="K5">
        <v>2.2365319728851318</v>
      </c>
      <c r="L5" s="15">
        <v>2.227788925170898</v>
      </c>
      <c r="M5" s="15">
        <v>2.2702748775482182</v>
      </c>
      <c r="O5" s="11">
        <f t="shared" si="1"/>
        <v>1.1349061246798487E-2</v>
      </c>
      <c r="P5" s="11">
        <f>(L5-$D5)^2</f>
        <v>9.5626738860795073E-3</v>
      </c>
      <c r="Q5" s="11">
        <f>(M5-$D5)^2</f>
        <v>1.9677041271167647E-2</v>
      </c>
    </row>
    <row r="6" spans="1:17" x14ac:dyDescent="0.25">
      <c r="A6" s="3">
        <v>46181</v>
      </c>
      <c r="B6" s="4">
        <v>6</v>
      </c>
      <c r="C6" s="5">
        <v>4.0281760649605172</v>
      </c>
      <c r="D6" s="6">
        <v>4.01</v>
      </c>
      <c r="E6">
        <v>3.6986346244812012</v>
      </c>
      <c r="F6">
        <f t="shared" si="2"/>
        <v>3.3036933744894764E-4</v>
      </c>
      <c r="G6">
        <f t="shared" si="0"/>
        <v>9.6948397071962469E-2</v>
      </c>
      <c r="K6">
        <v>3.6986346244812012</v>
      </c>
      <c r="L6" s="15">
        <v>3.6436986923217769</v>
      </c>
      <c r="M6" s="15">
        <v>3.7225594520568852</v>
      </c>
      <c r="O6" s="11">
        <f t="shared" si="1"/>
        <v>9.6948397071962469E-2</v>
      </c>
      <c r="P6" s="11">
        <f>(L6-$D6)^2</f>
        <v>0.13417664800677612</v>
      </c>
      <c r="Q6" s="11">
        <f>(M6-$D6)^2</f>
        <v>8.2622068601837947E-2</v>
      </c>
    </row>
    <row r="7" spans="1:17" x14ac:dyDescent="0.25">
      <c r="A7" s="3">
        <v>46181</v>
      </c>
      <c r="B7" s="4">
        <v>7</v>
      </c>
      <c r="C7" s="5">
        <v>5.8477684408538515</v>
      </c>
      <c r="D7" s="6">
        <v>5.48</v>
      </c>
      <c r="E7">
        <v>5.4293708801269531</v>
      </c>
      <c r="F7">
        <f t="shared" si="2"/>
        <v>0.13525362608807256</v>
      </c>
      <c r="G7">
        <f t="shared" si="0"/>
        <v>2.563307779119393E-3</v>
      </c>
      <c r="K7">
        <v>5.4293708801269531</v>
      </c>
      <c r="L7" s="15">
        <v>5.4031996726989746</v>
      </c>
      <c r="M7" s="15">
        <v>5.5764365196228027</v>
      </c>
      <c r="O7" s="11">
        <f t="shared" si="1"/>
        <v>2.563307779119393E-3</v>
      </c>
      <c r="P7" s="11">
        <f>(L7-$D7)^2</f>
        <v>5.8982902735446917E-3</v>
      </c>
      <c r="Q7" s="11">
        <f>(M7-$D7)^2</f>
        <v>9.3000023169591342E-3</v>
      </c>
    </row>
    <row r="8" spans="1:17" x14ac:dyDescent="0.25">
      <c r="A8" s="3">
        <v>46181</v>
      </c>
      <c r="B8" s="4">
        <v>8</v>
      </c>
      <c r="C8" s="5">
        <v>7.6208383832416677</v>
      </c>
      <c r="D8" s="6">
        <v>7.66</v>
      </c>
      <c r="E8">
        <v>7.2181367874145508</v>
      </c>
      <c r="F8">
        <f t="shared" si="2"/>
        <v>1.5336322271265017E-3</v>
      </c>
      <c r="G8">
        <f t="shared" si="0"/>
        <v>0.19524309863633402</v>
      </c>
      <c r="K8">
        <v>7.2181367874145508</v>
      </c>
      <c r="L8" s="15">
        <v>7.1360797882080078</v>
      </c>
      <c r="M8" s="15">
        <v>7.0554418563842773</v>
      </c>
      <c r="O8" s="11">
        <f t="shared" si="1"/>
        <v>0.19524309863633402</v>
      </c>
      <c r="P8" s="11">
        <f>(L8-$D8)^2</f>
        <v>0.27449238832416611</v>
      </c>
      <c r="Q8" s="11">
        <f>(M8-$D8)^2</f>
        <v>0.36549054901208894</v>
      </c>
    </row>
    <row r="9" spans="1:17" x14ac:dyDescent="0.25">
      <c r="A9" s="3">
        <v>46181</v>
      </c>
      <c r="B9" s="4">
        <v>9</v>
      </c>
      <c r="C9" s="5">
        <v>8.8230302397159974</v>
      </c>
      <c r="D9" s="6">
        <v>8.4600000000000009</v>
      </c>
      <c r="E9">
        <v>8.507227897644043</v>
      </c>
      <c r="F9">
        <f t="shared" si="2"/>
        <v>0.13179095494825394</v>
      </c>
      <c r="G9">
        <f t="shared" si="0"/>
        <v>2.2304743158761187E-3</v>
      </c>
      <c r="K9">
        <v>8.507227897644043</v>
      </c>
      <c r="L9" s="15">
        <v>8.3207721710205078</v>
      </c>
      <c r="M9" s="15">
        <v>8.2006559371948242</v>
      </c>
      <c r="O9" s="11">
        <f t="shared" si="1"/>
        <v>2.2304743158761187E-3</v>
      </c>
      <c r="P9" s="11">
        <f>(L9-$D9)^2</f>
        <v>1.9384388362342964E-2</v>
      </c>
      <c r="Q9" s="11">
        <f>(M9-$D9)^2</f>
        <v>6.7259342912295406E-2</v>
      </c>
    </row>
    <row r="10" spans="1:17" x14ac:dyDescent="0.25">
      <c r="A10" s="3">
        <v>46181</v>
      </c>
      <c r="B10" s="4">
        <v>10</v>
      </c>
      <c r="C10" s="5">
        <v>9.2341957968971506</v>
      </c>
      <c r="D10" s="6">
        <v>8.25</v>
      </c>
      <c r="E10">
        <v>8.9436492919921875</v>
      </c>
      <c r="F10">
        <f t="shared" si="2"/>
        <v>0.96864136663001743</v>
      </c>
      <c r="G10">
        <f t="shared" si="0"/>
        <v>0.48114934028126299</v>
      </c>
      <c r="K10">
        <v>8.9436492919921875</v>
      </c>
      <c r="L10" s="15">
        <v>8.7237577438354492</v>
      </c>
      <c r="M10" s="15">
        <v>8.6957321166992188</v>
      </c>
      <c r="O10" s="11">
        <f t="shared" si="1"/>
        <v>0.48114934028126299</v>
      </c>
      <c r="P10" s="11">
        <f>(L10-$D10)^2</f>
        <v>0.22444639984405512</v>
      </c>
      <c r="Q10" s="11">
        <f>(M10-$D10)^2</f>
        <v>0.19867711985716596</v>
      </c>
    </row>
    <row r="11" spans="1:17" x14ac:dyDescent="0.25">
      <c r="A11" s="3">
        <v>46181</v>
      </c>
      <c r="B11" s="4">
        <v>11</v>
      </c>
      <c r="C11" s="5">
        <v>9.5457946505945355</v>
      </c>
      <c r="D11" s="6">
        <v>8.3000000000000007</v>
      </c>
      <c r="E11">
        <v>8.96209716796875</v>
      </c>
      <c r="F11">
        <f t="shared" si="2"/>
        <v>1.5520043114499589</v>
      </c>
      <c r="G11">
        <f t="shared" si="0"/>
        <v>0.43837265983223822</v>
      </c>
      <c r="K11">
        <v>8.96209716796875</v>
      </c>
      <c r="L11" s="15">
        <v>8.7603559494018555</v>
      </c>
      <c r="M11" s="15">
        <v>8.7487697601318359</v>
      </c>
      <c r="O11" s="11">
        <f t="shared" si="1"/>
        <v>0.43837265983223822</v>
      </c>
      <c r="P11" s="11">
        <f>(L11-$D11)^2</f>
        <v>0.21192760014968307</v>
      </c>
      <c r="Q11" s="11">
        <f>(M11-$D11)^2</f>
        <v>0.20139429760878494</v>
      </c>
    </row>
    <row r="12" spans="1:17" x14ac:dyDescent="0.25">
      <c r="A12" s="3">
        <v>46181</v>
      </c>
      <c r="B12" s="4">
        <v>12</v>
      </c>
      <c r="C12" s="5">
        <v>9.4652137377313963</v>
      </c>
      <c r="D12" s="6">
        <v>9</v>
      </c>
      <c r="E12">
        <v>8.9239301681518555</v>
      </c>
      <c r="F12">
        <f t="shared" si="2"/>
        <v>0.21642382177401637</v>
      </c>
      <c r="G12">
        <f t="shared" si="0"/>
        <v>5.786619317404984E-3</v>
      </c>
      <c r="K12">
        <v>8.9239301681518555</v>
      </c>
      <c r="L12" s="15">
        <v>8.7606029510498047</v>
      </c>
      <c r="M12" s="15">
        <v>8.8404922485351563</v>
      </c>
      <c r="O12" s="11">
        <f t="shared" si="1"/>
        <v>5.786619317404984E-3</v>
      </c>
      <c r="P12" s="11">
        <f>(L12-$D12)^2</f>
        <v>5.7310947046062211E-2</v>
      </c>
      <c r="Q12" s="11">
        <f>(M12-$D12)^2</f>
        <v>2.5442722777370363E-2</v>
      </c>
    </row>
    <row r="13" spans="1:17" x14ac:dyDescent="0.25">
      <c r="A13" s="3">
        <v>46181</v>
      </c>
      <c r="B13" s="4">
        <v>13</v>
      </c>
      <c r="C13" s="5">
        <v>9.8378279948737113</v>
      </c>
      <c r="D13" s="6">
        <v>9.34</v>
      </c>
      <c r="E13">
        <v>9.1533975601196289</v>
      </c>
      <c r="F13">
        <f t="shared" si="2"/>
        <v>0.24783271247998007</v>
      </c>
      <c r="G13">
        <f t="shared" si="0"/>
        <v>3.4820470569307455E-2</v>
      </c>
      <c r="K13">
        <v>9.1533975601196289</v>
      </c>
      <c r="L13" s="15">
        <v>9.0297155380249023</v>
      </c>
      <c r="M13" s="15">
        <v>9.0840511322021484</v>
      </c>
      <c r="O13" s="11">
        <f t="shared" si="1"/>
        <v>3.4820470569307455E-2</v>
      </c>
      <c r="P13" s="11">
        <f>(L13-$D13)^2</f>
        <v>9.6276447343175739E-2</v>
      </c>
      <c r="Q13" s="11">
        <f>(M13-$D13)^2</f>
        <v>6.5509822927002026E-2</v>
      </c>
    </row>
    <row r="14" spans="1:17" x14ac:dyDescent="0.25">
      <c r="A14" s="3">
        <v>46181</v>
      </c>
      <c r="B14" s="4">
        <v>14</v>
      </c>
      <c r="C14" s="5">
        <v>10.860266443783486</v>
      </c>
      <c r="D14" s="6">
        <v>10.08</v>
      </c>
      <c r="E14">
        <v>9.9058141708374023</v>
      </c>
      <c r="F14">
        <f t="shared" si="2"/>
        <v>0.60881572329452738</v>
      </c>
      <c r="G14">
        <f t="shared" si="0"/>
        <v>3.0340703081061682E-2</v>
      </c>
      <c r="K14">
        <v>9.9058141708374023</v>
      </c>
      <c r="L14" s="15">
        <v>9.966914176940918</v>
      </c>
      <c r="M14" s="15">
        <v>10.082662582397459</v>
      </c>
      <c r="O14" s="11">
        <f t="shared" si="1"/>
        <v>3.0340703081061682E-2</v>
      </c>
      <c r="P14" s="11">
        <f>(L14-$D14)^2</f>
        <v>1.2788403376950025E-2</v>
      </c>
      <c r="Q14" s="11">
        <f>(M14-$D14)^2</f>
        <v>7.089345023258996E-6</v>
      </c>
    </row>
    <row r="15" spans="1:17" x14ac:dyDescent="0.25">
      <c r="A15" s="3">
        <v>46181</v>
      </c>
      <c r="B15" s="4">
        <v>15</v>
      </c>
      <c r="C15" s="5">
        <v>12.299183572654206</v>
      </c>
      <c r="D15" s="6">
        <v>11.59</v>
      </c>
      <c r="E15">
        <v>11.46654796600342</v>
      </c>
      <c r="F15">
        <f t="shared" si="2"/>
        <v>0.5029413397225837</v>
      </c>
      <c r="G15">
        <f t="shared" si="0"/>
        <v>1.5240404697892772E-2</v>
      </c>
      <c r="K15">
        <v>11.46654796600342</v>
      </c>
      <c r="L15" s="15">
        <v>11.594120025634769</v>
      </c>
      <c r="M15" s="15">
        <v>11.642411231994631</v>
      </c>
      <c r="O15" s="11">
        <f t="shared" si="1"/>
        <v>1.5240404697892772E-2</v>
      </c>
      <c r="P15" s="11">
        <f>(L15-$D15)^2</f>
        <v>1.6974611231156337E-5</v>
      </c>
      <c r="Q15" s="11">
        <f>(M15-$D15)^2</f>
        <v>2.7469372391950137E-3</v>
      </c>
    </row>
    <row r="16" spans="1:17" x14ac:dyDescent="0.25">
      <c r="A16" s="3">
        <v>46181</v>
      </c>
      <c r="B16" s="4">
        <v>16</v>
      </c>
      <c r="C16" s="5">
        <v>14.564011579462264</v>
      </c>
      <c r="D16" s="6">
        <v>14.07</v>
      </c>
      <c r="E16">
        <v>13.5764627456665</v>
      </c>
      <c r="F16">
        <f t="shared" si="2"/>
        <v>0.24404744064280026</v>
      </c>
      <c r="G16">
        <f t="shared" si="0"/>
        <v>0.24357902141504981</v>
      </c>
      <c r="K16">
        <v>13.5764627456665</v>
      </c>
      <c r="L16" s="15">
        <v>13.875259399414061</v>
      </c>
      <c r="M16" s="15">
        <v>13.775650024414061</v>
      </c>
      <c r="O16" s="11">
        <f t="shared" si="1"/>
        <v>0.24357902141504981</v>
      </c>
      <c r="P16" s="11">
        <f>(L16-$D16)^2</f>
        <v>3.7923901516572441E-2</v>
      </c>
      <c r="Q16" s="11">
        <f>(M16-$D16)^2</f>
        <v>8.6641908127443212E-2</v>
      </c>
    </row>
    <row r="17" spans="1:17" x14ac:dyDescent="0.25">
      <c r="A17" s="3">
        <v>46181</v>
      </c>
      <c r="B17" s="4">
        <v>17</v>
      </c>
      <c r="C17" s="5">
        <v>16.735099056702197</v>
      </c>
      <c r="D17" s="6">
        <v>15.51</v>
      </c>
      <c r="E17">
        <v>15.292598724365231</v>
      </c>
      <c r="F17">
        <f t="shared" si="2"/>
        <v>1.5008676987326126</v>
      </c>
      <c r="G17">
        <f t="shared" si="0"/>
        <v>4.7263314647624788E-2</v>
      </c>
      <c r="K17">
        <v>15.292598724365231</v>
      </c>
      <c r="L17" s="15">
        <v>15.7802848815918</v>
      </c>
      <c r="M17" s="15">
        <v>15.60574340820312</v>
      </c>
      <c r="O17" s="11">
        <f t="shared" si="1"/>
        <v>4.7263314647624788E-2</v>
      </c>
      <c r="P17" s="11">
        <f>(L17-$D17)^2</f>
        <v>7.3053917217093686E-2</v>
      </c>
      <c r="Q17" s="11">
        <f>(M17-$D17)^2</f>
        <v>9.1668002143492442E-3</v>
      </c>
    </row>
    <row r="18" spans="1:17" x14ac:dyDescent="0.25">
      <c r="A18" s="3">
        <v>46181</v>
      </c>
      <c r="B18" s="4">
        <v>18</v>
      </c>
      <c r="C18" s="5">
        <v>18.853024870907369</v>
      </c>
      <c r="D18" s="6">
        <v>17.34</v>
      </c>
      <c r="E18">
        <v>17.539888381958011</v>
      </c>
      <c r="F18">
        <f t="shared" si="2"/>
        <v>2.2892442599842608</v>
      </c>
      <c r="G18">
        <f t="shared" si="0"/>
        <v>3.9955365241791899E-2</v>
      </c>
      <c r="K18">
        <v>17.539888381958011</v>
      </c>
      <c r="L18" s="15">
        <v>17.694049835205082</v>
      </c>
      <c r="M18" s="15">
        <v>17.221477508544918</v>
      </c>
      <c r="O18" s="11">
        <f t="shared" si="1"/>
        <v>3.9955365241791899E-2</v>
      </c>
      <c r="P18" s="11">
        <f>(L18-$D18)^2</f>
        <v>0.1253512858087456</v>
      </c>
      <c r="Q18" s="11">
        <f>(M18-$D18)^2</f>
        <v>1.4047580980719876E-2</v>
      </c>
    </row>
    <row r="19" spans="1:17" x14ac:dyDescent="0.25">
      <c r="A19" s="3">
        <v>46181</v>
      </c>
      <c r="B19" s="4">
        <v>19</v>
      </c>
      <c r="C19" s="5">
        <v>23.203088299802388</v>
      </c>
      <c r="D19" s="6">
        <v>20.73</v>
      </c>
      <c r="E19">
        <v>21.640605926513668</v>
      </c>
      <c r="F19">
        <f t="shared" si="2"/>
        <v>6.1161657386194657</v>
      </c>
      <c r="G19">
        <f t="shared" si="0"/>
        <v>0.8292031534018155</v>
      </c>
      <c r="K19">
        <v>21.640605926513668</v>
      </c>
      <c r="L19" s="15">
        <v>21.485467910766602</v>
      </c>
      <c r="M19" s="15">
        <v>20.687725067138668</v>
      </c>
      <c r="O19" s="11">
        <f t="shared" si="1"/>
        <v>0.8292031534018155</v>
      </c>
      <c r="P19" s="11">
        <f>(L19-$D19)^2</f>
        <v>0.57073176419805327</v>
      </c>
      <c r="Q19" s="11">
        <f>(M19-$D19)^2</f>
        <v>1.7871699484301371E-3</v>
      </c>
    </row>
    <row r="20" spans="1:17" x14ac:dyDescent="0.25">
      <c r="A20" s="3">
        <v>46181</v>
      </c>
      <c r="B20" s="4">
        <v>20</v>
      </c>
      <c r="C20" s="5">
        <v>25.465134054537749</v>
      </c>
      <c r="D20" s="6">
        <v>23.02</v>
      </c>
      <c r="E20">
        <v>24.522943496704102</v>
      </c>
      <c r="F20">
        <f t="shared" si="2"/>
        <v>5.9786805446602154</v>
      </c>
      <c r="G20">
        <f t="shared" si="0"/>
        <v>2.2588391542851531</v>
      </c>
      <c r="K20">
        <v>24.522943496704102</v>
      </c>
      <c r="L20" s="15">
        <v>24.344537734985352</v>
      </c>
      <c r="M20" s="15">
        <v>23.48769378662109</v>
      </c>
      <c r="O20" s="11">
        <f t="shared" si="1"/>
        <v>2.2588391542851531</v>
      </c>
      <c r="P20" s="11">
        <f>(L20-$D20)^2</f>
        <v>1.7544002114001265</v>
      </c>
      <c r="Q20" s="11">
        <f>(M20-$D20)^2</f>
        <v>0.21873747804397425</v>
      </c>
    </row>
    <row r="21" spans="1:17" x14ac:dyDescent="0.25">
      <c r="A21" s="3">
        <v>46181</v>
      </c>
      <c r="B21" s="4">
        <v>21</v>
      </c>
      <c r="C21" s="5">
        <v>26.019182100188981</v>
      </c>
      <c r="D21" s="6">
        <v>24.95</v>
      </c>
      <c r="E21">
        <v>25.8316650390625</v>
      </c>
      <c r="F21">
        <f t="shared" si="2"/>
        <v>1.1431503633645226</v>
      </c>
      <c r="G21">
        <f t="shared" si="0"/>
        <v>0.77733324110508095</v>
      </c>
      <c r="K21">
        <v>25.8316650390625</v>
      </c>
      <c r="L21" s="15">
        <v>25.350034713745121</v>
      </c>
      <c r="M21" s="15">
        <v>24.886898040771481</v>
      </c>
      <c r="O21" s="11">
        <f t="shared" si="1"/>
        <v>0.77733324110508095</v>
      </c>
      <c r="P21" s="11">
        <f>(L21-$D21)^2</f>
        <v>0.16002777220114126</v>
      </c>
      <c r="Q21" s="11">
        <f>(M21-$D21)^2</f>
        <v>3.9818572584776066E-3</v>
      </c>
    </row>
    <row r="22" spans="1:17" x14ac:dyDescent="0.25">
      <c r="A22" s="3">
        <v>46181</v>
      </c>
      <c r="B22" s="4">
        <v>22</v>
      </c>
      <c r="C22" s="5">
        <v>22.32951722114764</v>
      </c>
      <c r="D22" s="6">
        <v>21.48</v>
      </c>
      <c r="E22">
        <v>22.165811538696289</v>
      </c>
      <c r="F22">
        <f t="shared" si="2"/>
        <v>0.72167950902640721</v>
      </c>
      <c r="G22">
        <f t="shared" si="0"/>
        <v>0.47033746660897102</v>
      </c>
      <c r="K22">
        <v>22.165811538696289</v>
      </c>
      <c r="L22" s="15">
        <v>21.98722076416016</v>
      </c>
      <c r="M22" s="15">
        <v>21.862680435180661</v>
      </c>
      <c r="O22" s="11">
        <f t="shared" si="1"/>
        <v>0.47033746660897102</v>
      </c>
      <c r="P22" s="11">
        <f>(L22-$D22)^2</f>
        <v>0.25727290359521604</v>
      </c>
      <c r="Q22" s="11">
        <f>(M22-$D22)^2</f>
        <v>0.14644431547005937</v>
      </c>
    </row>
    <row r="23" spans="1:17" x14ac:dyDescent="0.25">
      <c r="A23" s="3">
        <v>46181</v>
      </c>
      <c r="B23" s="4">
        <v>23</v>
      </c>
      <c r="C23" s="5">
        <v>14.625000895561303</v>
      </c>
      <c r="D23" s="6">
        <v>14.61</v>
      </c>
      <c r="E23">
        <v>14.676671028137211</v>
      </c>
      <c r="F23">
        <f t="shared" si="2"/>
        <v>2.2502686764114724E-4</v>
      </c>
      <c r="G23">
        <f t="shared" si="0"/>
        <v>4.4450259928728014E-3</v>
      </c>
      <c r="K23">
        <v>14.676671028137211</v>
      </c>
      <c r="L23" s="15">
        <v>14.51432514190674</v>
      </c>
      <c r="M23" s="15">
        <v>14.381313323974609</v>
      </c>
      <c r="O23" s="11">
        <f t="shared" si="1"/>
        <v>4.4450259928728014E-3</v>
      </c>
      <c r="P23" s="11">
        <f>(L23-$D23)^2</f>
        <v>9.1536784711653187E-3</v>
      </c>
      <c r="Q23" s="11">
        <f>(M23-$D23)^2</f>
        <v>5.2297595791541709E-2</v>
      </c>
    </row>
    <row r="24" spans="1:17" x14ac:dyDescent="0.25">
      <c r="A24" s="3">
        <v>46181</v>
      </c>
      <c r="B24" s="4">
        <v>24</v>
      </c>
      <c r="C24" s="5">
        <v>8.4140809799768501</v>
      </c>
      <c r="D24" s="6">
        <v>9.1</v>
      </c>
      <c r="E24">
        <v>8.447321891784668</v>
      </c>
      <c r="F24">
        <f t="shared" si="2"/>
        <v>0.47048490202951782</v>
      </c>
      <c r="G24">
        <f t="shared" si="0"/>
        <v>0.42598871294354418</v>
      </c>
      <c r="K24">
        <v>8.447321891784668</v>
      </c>
      <c r="L24" s="15">
        <v>8.4787826538085938</v>
      </c>
      <c r="M24" s="15">
        <v>8.4593601226806641</v>
      </c>
      <c r="O24" s="11">
        <f t="shared" si="1"/>
        <v>0.42598871294354418</v>
      </c>
      <c r="P24" s="11">
        <f>(L24-$D24)^2</f>
        <v>0.38591099120909306</v>
      </c>
      <c r="Q24" s="11">
        <f>(M24-$D24)^2</f>
        <v>0.41041945241173333</v>
      </c>
    </row>
    <row r="25" spans="1:17" x14ac:dyDescent="0.25">
      <c r="A25" s="3">
        <v>46181</v>
      </c>
      <c r="B25" s="4">
        <v>25</v>
      </c>
      <c r="C25" s="5">
        <v>5.1271147186589241</v>
      </c>
      <c r="D25" s="6">
        <v>5.61</v>
      </c>
      <c r="E25">
        <v>4.9315452575683594</v>
      </c>
      <c r="F25">
        <f t="shared" si="2"/>
        <v>0.23317819493585035</v>
      </c>
      <c r="G25">
        <f t="shared" si="0"/>
        <v>0.46030083752798423</v>
      </c>
      <c r="K25">
        <v>4.9315452575683594</v>
      </c>
      <c r="L25" s="15">
        <v>5.0006976127624512</v>
      </c>
      <c r="M25" s="15">
        <v>4.9953341484069824</v>
      </c>
      <c r="O25" s="11">
        <f t="shared" si="1"/>
        <v>0.46030083752798423</v>
      </c>
      <c r="P25" s="11">
        <f>(L25-$D25)^2</f>
        <v>0.37124939909337629</v>
      </c>
      <c r="Q25" s="11">
        <f>(M25-$D25)^2</f>
        <v>0.37781410911456992</v>
      </c>
    </row>
    <row r="26" spans="1:17" x14ac:dyDescent="0.25">
      <c r="A26" s="3">
        <v>46181</v>
      </c>
      <c r="B26" s="4">
        <v>26</v>
      </c>
      <c r="C26" s="5">
        <v>3.138297924353024</v>
      </c>
      <c r="D26" s="6">
        <v>3.61</v>
      </c>
      <c r="E26">
        <v>3.1325454711914058</v>
      </c>
      <c r="F26">
        <f t="shared" si="2"/>
        <v>0.22250284816966534</v>
      </c>
      <c r="G26">
        <f t="shared" si="0"/>
        <v>0.22796282707983659</v>
      </c>
      <c r="K26">
        <v>3.1325454711914058</v>
      </c>
      <c r="L26" s="15">
        <v>3.2106976509094238</v>
      </c>
      <c r="M26" s="15">
        <v>3.2836828231811519</v>
      </c>
      <c r="O26" s="11">
        <f t="shared" si="1"/>
        <v>0.22796282707983659</v>
      </c>
      <c r="P26" s="11">
        <f>(L26-$D26)^2</f>
        <v>0.15944236598925227</v>
      </c>
      <c r="Q26" s="11">
        <f>(M26-$D26)^2</f>
        <v>0.10648289988702329</v>
      </c>
    </row>
    <row r="27" spans="1:17" x14ac:dyDescent="0.25">
      <c r="A27" s="3">
        <v>46181</v>
      </c>
      <c r="B27" s="4">
        <v>27</v>
      </c>
      <c r="C27" s="5">
        <v>2.2563622332388662</v>
      </c>
      <c r="D27" s="6">
        <v>2.13</v>
      </c>
      <c r="E27">
        <v>2.1265687942504878</v>
      </c>
      <c r="F27">
        <f t="shared" si="2"/>
        <v>1.5967413989113648E-2</v>
      </c>
      <c r="G27">
        <f t="shared" si="0"/>
        <v>1.1773172895484592E-5</v>
      </c>
      <c r="K27">
        <v>2.1265687942504878</v>
      </c>
      <c r="L27" s="15">
        <v>2.202131986618042</v>
      </c>
      <c r="M27" s="15">
        <v>2.2866582870483398</v>
      </c>
      <c r="O27" s="11">
        <f t="shared" si="1"/>
        <v>1.1773172895484592E-5</v>
      </c>
      <c r="P27" s="11">
        <f>(L27-$D27)^2</f>
        <v>5.2030234934654042E-3</v>
      </c>
      <c r="Q27" s="11">
        <f>(M27-$D27)^2</f>
        <v>2.4541818900920078E-2</v>
      </c>
    </row>
    <row r="28" spans="1:17" x14ac:dyDescent="0.25">
      <c r="A28" s="3">
        <v>46181</v>
      </c>
      <c r="B28" s="4">
        <v>28</v>
      </c>
      <c r="C28" s="5">
        <v>1.9328322995533846</v>
      </c>
      <c r="D28" s="6">
        <v>1.81</v>
      </c>
      <c r="E28">
        <v>1.7412323951721189</v>
      </c>
      <c r="F28">
        <f t="shared" si="2"/>
        <v>1.5087773813572404E-2</v>
      </c>
      <c r="G28">
        <f t="shared" si="0"/>
        <v>4.7289834737636203E-3</v>
      </c>
      <c r="K28">
        <v>1.7412323951721189</v>
      </c>
      <c r="L28" s="15">
        <v>1.786003112792969</v>
      </c>
      <c r="M28" s="15">
        <v>1.8096504211425779</v>
      </c>
      <c r="O28" s="11">
        <f t="shared" si="1"/>
        <v>4.7289834737636203E-3</v>
      </c>
      <c r="P28" s="11">
        <f>(L28-$D28)^2</f>
        <v>5.7585059562697194E-4</v>
      </c>
      <c r="Q28" s="11">
        <f>(M28-$D28)^2</f>
        <v>1.222053775565761E-7</v>
      </c>
    </row>
    <row r="29" spans="1:17" x14ac:dyDescent="0.25">
      <c r="A29" s="7">
        <v>46181</v>
      </c>
      <c r="B29" s="4">
        <v>29</v>
      </c>
      <c r="C29" s="5">
        <v>2.408628545444933</v>
      </c>
      <c r="D29" s="6">
        <v>2.2400000000000002</v>
      </c>
      <c r="E29">
        <v>2.1351191997528081</v>
      </c>
      <c r="F29">
        <f t="shared" si="2"/>
        <v>2.8435586338873758E-2</v>
      </c>
      <c r="G29">
        <f t="shared" si="0"/>
        <v>1.0999982260491422E-2</v>
      </c>
      <c r="K29">
        <v>2.1351191997528081</v>
      </c>
      <c r="L29" s="15">
        <v>2.1902647018432622</v>
      </c>
      <c r="M29" s="15">
        <v>2.2668359279632568</v>
      </c>
      <c r="O29" s="11">
        <f t="shared" si="1"/>
        <v>1.0999982260491422E-2</v>
      </c>
      <c r="P29" s="11">
        <f>(L29-$D29)^2</f>
        <v>2.4735998827396313E-3</v>
      </c>
      <c r="Q29" s="11">
        <f>(M29-$D29)^2</f>
        <v>7.2016702964909879E-4</v>
      </c>
    </row>
    <row r="30" spans="1:17" x14ac:dyDescent="0.25">
      <c r="A30" s="3">
        <v>46182</v>
      </c>
      <c r="B30" s="4">
        <v>6</v>
      </c>
      <c r="C30" s="5">
        <v>4.1481828760688071</v>
      </c>
      <c r="D30" s="6">
        <v>3.77</v>
      </c>
      <c r="E30">
        <v>3.5664067268371582</v>
      </c>
      <c r="F30">
        <f t="shared" si="2"/>
        <v>0.14302228775167469</v>
      </c>
      <c r="G30">
        <f t="shared" si="0"/>
        <v>4.1450220877159528E-2</v>
      </c>
      <c r="K30">
        <v>3.5664067268371582</v>
      </c>
      <c r="L30" s="15">
        <v>3.6185331344604492</v>
      </c>
      <c r="M30" s="15">
        <v>3.5857224464416499</v>
      </c>
      <c r="O30" s="11">
        <f t="shared" si="1"/>
        <v>4.1450220877159528E-2</v>
      </c>
      <c r="P30" s="11">
        <f>(L30-$D30)^2</f>
        <v>2.2942211356376363E-2</v>
      </c>
      <c r="Q30" s="11">
        <f>(M30-$D30)^2</f>
        <v>3.3958216745450576E-2</v>
      </c>
    </row>
    <row r="31" spans="1:17" x14ac:dyDescent="0.25">
      <c r="A31" s="3">
        <v>46182</v>
      </c>
      <c r="B31" s="4">
        <v>7</v>
      </c>
      <c r="C31" s="5">
        <v>6.0990853265426823</v>
      </c>
      <c r="D31" s="6">
        <v>5.21</v>
      </c>
      <c r="E31">
        <v>5.3426156044006348</v>
      </c>
      <c r="F31">
        <f t="shared" si="2"/>
        <v>0.79047271787350815</v>
      </c>
      <c r="G31">
        <f t="shared" si="0"/>
        <v>1.758689853054567E-2</v>
      </c>
      <c r="K31">
        <v>5.3426156044006348</v>
      </c>
      <c r="L31" s="15">
        <v>5.3997716903686523</v>
      </c>
      <c r="M31" s="15">
        <v>5.3694138526916504</v>
      </c>
      <c r="O31" s="11">
        <f t="shared" si="1"/>
        <v>1.758689853054567E-2</v>
      </c>
      <c r="P31" s="11">
        <f>(L31-$D31)^2</f>
        <v>3.601329446537567E-2</v>
      </c>
      <c r="Q31" s="11">
        <f>(M31-$D31)^2</f>
        <v>2.5412776429995221E-2</v>
      </c>
    </row>
    <row r="32" spans="1:17" x14ac:dyDescent="0.25">
      <c r="A32" s="3">
        <v>46182</v>
      </c>
      <c r="B32" s="4">
        <v>8</v>
      </c>
      <c r="C32" s="5">
        <v>7.8196779307077389</v>
      </c>
      <c r="D32" s="6">
        <v>6.89</v>
      </c>
      <c r="E32">
        <v>7.027989387512207</v>
      </c>
      <c r="F32">
        <f t="shared" si="2"/>
        <v>0.86430105484502395</v>
      </c>
      <c r="G32">
        <f t="shared" si="0"/>
        <v>1.9041071065994127E-2</v>
      </c>
      <c r="K32">
        <v>7.027989387512207</v>
      </c>
      <c r="L32" s="15">
        <v>7.1028575897216797</v>
      </c>
      <c r="M32" s="15">
        <v>6.8181858062744141</v>
      </c>
      <c r="O32" s="11">
        <f t="shared" si="1"/>
        <v>1.9041071065994127E-2</v>
      </c>
      <c r="P32" s="11">
        <f>(L32-$D32)^2</f>
        <v>4.5308353502123054E-2</v>
      </c>
      <c r="Q32" s="11">
        <f>(M32-$D32)^2</f>
        <v>5.1572784204559404E-3</v>
      </c>
    </row>
    <row r="33" spans="1:17" x14ac:dyDescent="0.25">
      <c r="A33" s="3">
        <v>46182</v>
      </c>
      <c r="B33" s="4">
        <v>9</v>
      </c>
      <c r="C33" s="5">
        <v>8.9939541552565316</v>
      </c>
      <c r="D33" s="6">
        <v>8.2799999999999994</v>
      </c>
      <c r="E33">
        <v>8.3175411224365234</v>
      </c>
      <c r="F33">
        <f t="shared" si="2"/>
        <v>0.5097305358080686</v>
      </c>
      <c r="G33">
        <f t="shared" si="0"/>
        <v>1.4093358737940914E-3</v>
      </c>
      <c r="K33">
        <v>8.3175411224365234</v>
      </c>
      <c r="L33" s="15">
        <v>8.3074674606323242</v>
      </c>
      <c r="M33" s="15">
        <v>8.0105571746826172</v>
      </c>
      <c r="O33" s="11">
        <f t="shared" si="1"/>
        <v>1.4093358737940914E-3</v>
      </c>
      <c r="P33" s="11">
        <f>(L33-$D33)^2</f>
        <v>7.5446139358831591E-4</v>
      </c>
      <c r="Q33" s="11">
        <f>(M33-$D33)^2</f>
        <v>7.2599436115013322E-2</v>
      </c>
    </row>
    <row r="34" spans="1:17" x14ac:dyDescent="0.25">
      <c r="A34" s="3">
        <v>46182</v>
      </c>
      <c r="B34" s="4">
        <v>10</v>
      </c>
      <c r="C34" s="5">
        <v>9.3319638919825447</v>
      </c>
      <c r="D34" s="6">
        <v>8.75</v>
      </c>
      <c r="E34">
        <v>8.6714792251586914</v>
      </c>
      <c r="F34">
        <f t="shared" si="2"/>
        <v>0.33868197157147101</v>
      </c>
      <c r="G34">
        <f t="shared" si="0"/>
        <v>6.1655120816794806E-3</v>
      </c>
      <c r="K34">
        <v>8.6714792251586914</v>
      </c>
      <c r="L34" s="15">
        <v>8.5374250411987305</v>
      </c>
      <c r="M34" s="15">
        <v>8.4129543304443359</v>
      </c>
      <c r="O34" s="11">
        <f t="shared" si="1"/>
        <v>6.1655120816794806E-3</v>
      </c>
      <c r="P34" s="11">
        <f>(L34-$D34)^2</f>
        <v>4.5188113109361439E-2</v>
      </c>
      <c r="Q34" s="11">
        <f>(M34-$D34)^2</f>
        <v>0.11359978336622589</v>
      </c>
    </row>
    <row r="35" spans="1:17" x14ac:dyDescent="0.25">
      <c r="A35" s="3">
        <v>46182</v>
      </c>
      <c r="B35" s="4">
        <v>11</v>
      </c>
      <c r="C35" s="5">
        <v>9.4466121624266552</v>
      </c>
      <c r="D35" s="6">
        <v>8.58</v>
      </c>
      <c r="E35">
        <v>8.6511697769165039</v>
      </c>
      <c r="F35">
        <f t="shared" si="2"/>
        <v>0.75101664006580338</v>
      </c>
      <c r="G35">
        <f t="shared" si="0"/>
        <v>5.0651371463449222E-3</v>
      </c>
      <c r="K35">
        <v>8.6511697769165039</v>
      </c>
      <c r="L35" s="15">
        <v>8.4773769378662109</v>
      </c>
      <c r="M35" s="15">
        <v>8.5003032684326172</v>
      </c>
      <c r="O35" s="11">
        <f t="shared" si="1"/>
        <v>5.0651371463449222E-3</v>
      </c>
      <c r="P35" s="11">
        <f>(L35-$D35)^2</f>
        <v>1.0531492881715544E-2</v>
      </c>
      <c r="Q35" s="11">
        <f>(M35-$D35)^2</f>
        <v>6.3515690225234836E-3</v>
      </c>
    </row>
    <row r="36" spans="1:17" x14ac:dyDescent="0.25">
      <c r="A36" s="3">
        <v>46182</v>
      </c>
      <c r="B36" s="4">
        <v>12</v>
      </c>
      <c r="C36" s="5">
        <v>9.3772731200747241</v>
      </c>
      <c r="D36" s="6">
        <v>8.64</v>
      </c>
      <c r="E36">
        <v>8.6101951599121094</v>
      </c>
      <c r="F36">
        <f t="shared" si="2"/>
        <v>0.54357165358471771</v>
      </c>
      <c r="G36">
        <f t="shared" si="0"/>
        <v>8.8832849266476594E-4</v>
      </c>
      <c r="K36">
        <v>8.6101951599121094</v>
      </c>
      <c r="L36" s="15">
        <v>8.5075740814208984</v>
      </c>
      <c r="M36" s="15">
        <v>8.7144126892089844</v>
      </c>
      <c r="O36" s="11">
        <f t="shared" si="1"/>
        <v>8.8832849266476594E-4</v>
      </c>
      <c r="P36" s="11">
        <f>(L36-$D36)^2</f>
        <v>1.7536623911518986E-2</v>
      </c>
      <c r="Q36" s="11">
        <f>(M36-$D36)^2</f>
        <v>5.5372483153128147E-3</v>
      </c>
    </row>
    <row r="37" spans="1:17" x14ac:dyDescent="0.25">
      <c r="A37" s="3">
        <v>46182</v>
      </c>
      <c r="B37" s="4">
        <v>13</v>
      </c>
      <c r="C37" s="5">
        <v>9.3368856611682745</v>
      </c>
      <c r="D37" s="6">
        <v>8.61</v>
      </c>
      <c r="E37">
        <v>8.8469572067260742</v>
      </c>
      <c r="F37">
        <f t="shared" si="2"/>
        <v>0.52836276441204033</v>
      </c>
      <c r="G37">
        <f t="shared" si="0"/>
        <v>5.6148717819423745E-2</v>
      </c>
      <c r="K37">
        <v>8.8469572067260742</v>
      </c>
      <c r="L37" s="15">
        <v>8.7697687149047852</v>
      </c>
      <c r="M37" s="15">
        <v>9.0117158889770508</v>
      </c>
      <c r="O37" s="11">
        <f t="shared" si="1"/>
        <v>5.6148717819423745E-2</v>
      </c>
      <c r="P37" s="11">
        <f>(L37-$D37)^2</f>
        <v>2.5526042262326701E-2</v>
      </c>
      <c r="Q37" s="11">
        <f>(M37-$D37)^2</f>
        <v>0.16137565545662264</v>
      </c>
    </row>
    <row r="38" spans="1:17" x14ac:dyDescent="0.25">
      <c r="A38" s="3">
        <v>46182</v>
      </c>
      <c r="B38" s="4">
        <v>14</v>
      </c>
      <c r="C38" s="5">
        <v>10.335111649522604</v>
      </c>
      <c r="D38" s="6">
        <v>10.45</v>
      </c>
      <c r="E38">
        <v>9.7816152572631836</v>
      </c>
      <c r="F38">
        <f t="shared" si="2"/>
        <v>1.3199333075416795E-2</v>
      </c>
      <c r="G38">
        <f t="shared" si="0"/>
        <v>0.44673816432335928</v>
      </c>
      <c r="K38">
        <v>9.7816152572631836</v>
      </c>
      <c r="L38" s="15">
        <v>9.6706552505493164</v>
      </c>
      <c r="M38" s="15">
        <v>10.04428005218506</v>
      </c>
      <c r="O38" s="11">
        <f t="shared" si="1"/>
        <v>0.44673816432335928</v>
      </c>
      <c r="P38" s="11">
        <f>(L38-$D38)^2</f>
        <v>0.60737823849634764</v>
      </c>
      <c r="Q38" s="11">
        <f>(M38-$D38)^2</f>
        <v>0.16460867605495677</v>
      </c>
    </row>
    <row r="39" spans="1:17" x14ac:dyDescent="0.25">
      <c r="A39" s="3">
        <v>46182</v>
      </c>
      <c r="B39" s="4">
        <v>15</v>
      </c>
      <c r="C39" s="5">
        <v>12.012011971530907</v>
      </c>
      <c r="D39" s="6">
        <v>12.17</v>
      </c>
      <c r="E39">
        <v>11.223945617675779</v>
      </c>
      <c r="F39">
        <f t="shared" si="2"/>
        <v>2.4960217139551041E-2</v>
      </c>
      <c r="G39">
        <f t="shared" si="0"/>
        <v>0.89501889431486226</v>
      </c>
      <c r="K39">
        <v>11.223945617675779</v>
      </c>
      <c r="L39" s="15">
        <v>11.308298110961911</v>
      </c>
      <c r="M39" s="15">
        <v>11.88256168365479</v>
      </c>
      <c r="O39" s="11">
        <f t="shared" si="1"/>
        <v>0.89501889431486226</v>
      </c>
      <c r="P39" s="11">
        <f>(L39-$D39)^2</f>
        <v>0.74253014557181174</v>
      </c>
      <c r="Q39" s="11">
        <f>(M39-$D39)^2</f>
        <v>8.2620785703368699E-2</v>
      </c>
    </row>
    <row r="40" spans="1:17" x14ac:dyDescent="0.25">
      <c r="A40" s="3">
        <v>46182</v>
      </c>
      <c r="B40" s="4">
        <v>16</v>
      </c>
      <c r="C40" s="5">
        <v>14.417436187359211</v>
      </c>
      <c r="D40" s="6">
        <v>14.81</v>
      </c>
      <c r="E40">
        <v>13.24489116668701</v>
      </c>
      <c r="F40">
        <f t="shared" si="2"/>
        <v>0.15410634699507275</v>
      </c>
      <c r="G40">
        <f t="shared" si="0"/>
        <v>2.4495656601143505</v>
      </c>
      <c r="K40">
        <v>13.24489116668701</v>
      </c>
      <c r="L40" s="15">
        <v>13.31409740447998</v>
      </c>
      <c r="M40" s="15">
        <v>13.74797248840332</v>
      </c>
      <c r="O40" s="11">
        <f t="shared" si="1"/>
        <v>2.4495656601143505</v>
      </c>
      <c r="P40" s="11">
        <f>(L40-$D40)^2</f>
        <v>2.2377245752835329</v>
      </c>
      <c r="Q40" s="11">
        <f>(M40-$D40)^2</f>
        <v>1.1279024353882368</v>
      </c>
    </row>
    <row r="41" spans="1:17" x14ac:dyDescent="0.25">
      <c r="A41" s="3">
        <v>46182</v>
      </c>
      <c r="B41" s="4">
        <v>17</v>
      </c>
      <c r="C41" s="5">
        <v>16.752691897969871</v>
      </c>
      <c r="D41" s="6">
        <v>16.649999999999999</v>
      </c>
      <c r="E41">
        <v>15.11384391784668</v>
      </c>
      <c r="F41">
        <f t="shared" si="2"/>
        <v>1.0545625908654759E-2</v>
      </c>
      <c r="G41">
        <f t="shared" si="0"/>
        <v>2.3597755087366341</v>
      </c>
      <c r="K41">
        <v>15.11384391784668</v>
      </c>
      <c r="L41" s="15">
        <v>15.429605484008791</v>
      </c>
      <c r="M41" s="15">
        <v>15.492433547973629</v>
      </c>
      <c r="O41" s="11">
        <f t="shared" si="1"/>
        <v>2.3597755087366341</v>
      </c>
      <c r="P41" s="11">
        <f>(L41-$D41)^2</f>
        <v>1.4893627746614142</v>
      </c>
      <c r="Q41" s="11">
        <f>(M41-$D41)^2</f>
        <v>1.3399600908569167</v>
      </c>
    </row>
    <row r="42" spans="1:17" x14ac:dyDescent="0.25">
      <c r="A42" s="3">
        <v>46182</v>
      </c>
      <c r="B42" s="4">
        <v>18</v>
      </c>
      <c r="C42" s="5">
        <v>19.005712083382807</v>
      </c>
      <c r="D42" s="6">
        <v>18.87</v>
      </c>
      <c r="E42">
        <v>16.976043701171879</v>
      </c>
      <c r="F42">
        <f t="shared" si="2"/>
        <v>1.8417769576101761E-2</v>
      </c>
      <c r="G42">
        <f t="shared" si="0"/>
        <v>3.5870704618707201</v>
      </c>
      <c r="K42">
        <v>16.976043701171879</v>
      </c>
      <c r="L42" s="15">
        <v>17.231760025024411</v>
      </c>
      <c r="M42" s="15">
        <v>16.723257064819339</v>
      </c>
      <c r="O42" s="11">
        <f t="shared" si="1"/>
        <v>3.5870704618707201</v>
      </c>
      <c r="P42" s="11">
        <f>(L42-$D42)^2</f>
        <v>2.6838302156080234</v>
      </c>
      <c r="Q42" s="11">
        <f>(M42-$D42)^2</f>
        <v>4.608505229748082</v>
      </c>
    </row>
    <row r="43" spans="1:17" x14ac:dyDescent="0.25">
      <c r="A43" s="3">
        <v>46182</v>
      </c>
      <c r="B43" s="4">
        <v>19</v>
      </c>
      <c r="C43" s="5">
        <v>23.040073301338275</v>
      </c>
      <c r="D43" s="6">
        <v>22.16</v>
      </c>
      <c r="E43">
        <v>20.309858322143551</v>
      </c>
      <c r="F43">
        <f t="shared" si="2"/>
        <v>0.77452901572844957</v>
      </c>
      <c r="G43">
        <f t="shared" si="0"/>
        <v>3.4230242281414762</v>
      </c>
      <c r="K43">
        <v>20.309858322143551</v>
      </c>
      <c r="L43" s="15">
        <v>20.623224258422852</v>
      </c>
      <c r="M43" s="15">
        <v>19.669694900512699</v>
      </c>
      <c r="O43" s="11">
        <f t="shared" si="1"/>
        <v>3.4230242281414762</v>
      </c>
      <c r="P43" s="11">
        <f>(L43-$D43)^2</f>
        <v>2.3616796798999951</v>
      </c>
      <c r="Q43" s="11">
        <f>(M43-$D43)^2</f>
        <v>6.2016194885324571</v>
      </c>
    </row>
    <row r="44" spans="1:17" x14ac:dyDescent="0.25">
      <c r="A44" s="3">
        <v>46182</v>
      </c>
      <c r="B44" s="4">
        <v>20</v>
      </c>
      <c r="C44" s="5">
        <v>25.402677923764681</v>
      </c>
      <c r="D44" s="6">
        <v>24.39</v>
      </c>
      <c r="E44">
        <v>23.159526824951168</v>
      </c>
      <c r="F44">
        <f t="shared" si="2"/>
        <v>1.0255165772803447</v>
      </c>
      <c r="G44">
        <f t="shared" si="0"/>
        <v>1.5140642345147541</v>
      </c>
      <c r="K44">
        <v>23.159526824951168</v>
      </c>
      <c r="L44" s="15">
        <v>23.1772575378418</v>
      </c>
      <c r="M44" s="15">
        <v>22.355314254760739</v>
      </c>
      <c r="O44" s="11">
        <f t="shared" si="1"/>
        <v>1.5140642345147541</v>
      </c>
      <c r="P44" s="11">
        <f>(L44-$D44)^2</f>
        <v>1.4707442795215335</v>
      </c>
      <c r="Q44" s="11">
        <f>(M44-$D44)^2</f>
        <v>4.1399460818798506</v>
      </c>
    </row>
    <row r="45" spans="1:17" x14ac:dyDescent="0.25">
      <c r="A45" s="3">
        <v>46182</v>
      </c>
      <c r="B45" s="4">
        <v>21</v>
      </c>
      <c r="C45" s="5">
        <v>25.969227986949551</v>
      </c>
      <c r="D45" s="6">
        <v>24.13</v>
      </c>
      <c r="E45">
        <v>24.648225784301761</v>
      </c>
      <c r="F45">
        <f t="shared" si="2"/>
        <v>3.3827595879785033</v>
      </c>
      <c r="G45">
        <f t="shared" si="0"/>
        <v>0.26855796351517675</v>
      </c>
      <c r="K45">
        <v>24.648225784301761</v>
      </c>
      <c r="L45" s="15">
        <v>24.55723762512207</v>
      </c>
      <c r="M45" s="15">
        <v>23.925083160400391</v>
      </c>
      <c r="O45" s="11">
        <f t="shared" si="1"/>
        <v>0.26855796351517675</v>
      </c>
      <c r="P45" s="11">
        <f>(L45-$D45)^2</f>
        <v>0.18253198831994755</v>
      </c>
      <c r="Q45" s="11">
        <f>(M45-$D45)^2</f>
        <v>4.1990911151491631E-2</v>
      </c>
    </row>
    <row r="46" spans="1:17" x14ac:dyDescent="0.25">
      <c r="A46" s="3">
        <v>46182</v>
      </c>
      <c r="B46" s="4">
        <v>22</v>
      </c>
      <c r="C46" s="5">
        <v>22.622195994791628</v>
      </c>
      <c r="D46" s="6">
        <v>21.07</v>
      </c>
      <c r="E46">
        <v>21.969596862792969</v>
      </c>
      <c r="F46">
        <f t="shared" si="2"/>
        <v>2.4093124062471714</v>
      </c>
      <c r="G46">
        <f t="shared" si="0"/>
        <v>0.80927451554695096</v>
      </c>
      <c r="K46">
        <v>21.969596862792969</v>
      </c>
      <c r="L46" s="15">
        <v>21.768997192382809</v>
      </c>
      <c r="M46" s="15">
        <v>21.395072937011719</v>
      </c>
      <c r="O46" s="11">
        <f t="shared" si="1"/>
        <v>0.80927451554695096</v>
      </c>
      <c r="P46" s="11">
        <f>(L46-$D46)^2</f>
        <v>0.48859707495904925</v>
      </c>
      <c r="Q46" s="11">
        <f>(M46-$D46)^2</f>
        <v>0.10567241437742468</v>
      </c>
    </row>
    <row r="47" spans="1:17" x14ac:dyDescent="0.25">
      <c r="A47" s="3">
        <v>46182</v>
      </c>
      <c r="B47" s="4">
        <v>23</v>
      </c>
      <c r="C47" s="5">
        <v>14.865480035917715</v>
      </c>
      <c r="D47" s="6">
        <v>13.95</v>
      </c>
      <c r="E47">
        <v>14.80999088287354</v>
      </c>
      <c r="F47">
        <f t="shared" si="2"/>
        <v>0.83810369616390179</v>
      </c>
      <c r="G47">
        <f t="shared" si="0"/>
        <v>0.7395843186256128</v>
      </c>
      <c r="K47">
        <v>14.80999088287354</v>
      </c>
      <c r="L47" s="15">
        <v>14.54983520507812</v>
      </c>
      <c r="M47" s="15">
        <v>14.47870922088623</v>
      </c>
      <c r="O47" s="11">
        <f t="shared" si="1"/>
        <v>0.7395843186256128</v>
      </c>
      <c r="P47" s="11">
        <f>(L47-$D47)^2</f>
        <v>0.35980227325111075</v>
      </c>
      <c r="Q47" s="11">
        <f>(M47-$D47)^2</f>
        <v>0.27953344025012561</v>
      </c>
    </row>
    <row r="48" spans="1:17" x14ac:dyDescent="0.25">
      <c r="A48" s="3">
        <v>46182</v>
      </c>
      <c r="B48" s="4">
        <v>24</v>
      </c>
      <c r="C48" s="5">
        <v>8.2528916891726993</v>
      </c>
      <c r="D48" s="6">
        <v>7.97</v>
      </c>
      <c r="E48">
        <v>8.4219226837158203</v>
      </c>
      <c r="F48">
        <f t="shared" si="2"/>
        <v>8.0027707802983267E-2</v>
      </c>
      <c r="G48">
        <f t="shared" si="0"/>
        <v>0.20423411205690958</v>
      </c>
      <c r="K48">
        <v>8.4219226837158203</v>
      </c>
      <c r="L48" s="15">
        <v>8.3805303573608398</v>
      </c>
      <c r="M48" s="15">
        <v>8.4311952590942383</v>
      </c>
      <c r="O48" s="11">
        <f t="shared" si="1"/>
        <v>0.20423411205690958</v>
      </c>
      <c r="P48" s="11">
        <f>(L48-$D48)^2</f>
        <v>0.16853517431481907</v>
      </c>
      <c r="Q48" s="11">
        <f>(M48-$D48)^2</f>
        <v>0.2127010670110018</v>
      </c>
    </row>
    <row r="49" spans="1:17" x14ac:dyDescent="0.25">
      <c r="A49" s="3">
        <v>46182</v>
      </c>
      <c r="B49" s="4">
        <v>25</v>
      </c>
      <c r="C49" s="5">
        <v>4.9175686406135233</v>
      </c>
      <c r="D49" s="6">
        <v>4.3600000000000003</v>
      </c>
      <c r="E49">
        <v>4.977785587310791</v>
      </c>
      <c r="F49">
        <f t="shared" si="2"/>
        <v>0.31088278899561195</v>
      </c>
      <c r="G49">
        <f t="shared" si="0"/>
        <v>0.38165903188893857</v>
      </c>
      <c r="K49">
        <v>4.977785587310791</v>
      </c>
      <c r="L49" s="15">
        <v>4.9312191009521484</v>
      </c>
      <c r="M49" s="15">
        <v>5.0314311981201172</v>
      </c>
      <c r="O49" s="11">
        <f t="shared" si="1"/>
        <v>0.38165903188893857</v>
      </c>
      <c r="P49" s="11">
        <f>(L49-$D49)^2</f>
        <v>0.3262912612925804</v>
      </c>
      <c r="Q49" s="11">
        <f>(M49-$D49)^2</f>
        <v>0.45081985380901562</v>
      </c>
    </row>
    <row r="50" spans="1:17" x14ac:dyDescent="0.25">
      <c r="A50" s="3">
        <v>46182</v>
      </c>
      <c r="B50" s="4">
        <v>26</v>
      </c>
      <c r="C50" s="5">
        <v>3.2553040791956822</v>
      </c>
      <c r="D50" s="6">
        <v>2.88</v>
      </c>
      <c r="E50">
        <v>3.2154121398925781</v>
      </c>
      <c r="F50">
        <f t="shared" si="2"/>
        <v>0.14085315186091898</v>
      </c>
      <c r="G50">
        <f t="shared" si="0"/>
        <v>0.11250130358731847</v>
      </c>
      <c r="K50">
        <v>3.2154121398925781</v>
      </c>
      <c r="L50" s="15">
        <v>3.2076015472412109</v>
      </c>
      <c r="M50" s="15">
        <v>3.2859764099121089</v>
      </c>
      <c r="O50" s="11">
        <f t="shared" si="1"/>
        <v>0.11250130358731847</v>
      </c>
      <c r="P50" s="11">
        <f>(L50-$D50)^2</f>
        <v>0.10732277375483543</v>
      </c>
      <c r="Q50" s="11">
        <f>(M50-$D50)^2</f>
        <v>0.16481684540512478</v>
      </c>
    </row>
    <row r="51" spans="1:17" x14ac:dyDescent="0.25">
      <c r="A51" s="3">
        <v>46182</v>
      </c>
      <c r="B51" s="4">
        <v>27</v>
      </c>
      <c r="C51" s="5">
        <v>2.2274345122999057</v>
      </c>
      <c r="D51" s="6">
        <v>1.83</v>
      </c>
      <c r="E51">
        <v>2.2348663806915279</v>
      </c>
      <c r="F51">
        <f t="shared" si="2"/>
        <v>0.15795419156706386</v>
      </c>
      <c r="G51">
        <f t="shared" si="0"/>
        <v>0.16391678621425712</v>
      </c>
      <c r="K51">
        <v>2.2348663806915279</v>
      </c>
      <c r="L51" s="15">
        <v>2.270020723342896</v>
      </c>
      <c r="M51" s="15">
        <v>2.2795851230621338</v>
      </c>
      <c r="O51" s="11">
        <f t="shared" si="1"/>
        <v>0.16391678621425712</v>
      </c>
      <c r="P51" s="11">
        <f>(L51-$D51)^2</f>
        <v>0.19361823697120531</v>
      </c>
      <c r="Q51" s="11">
        <f>(M51-$D51)^2</f>
        <v>0.20212678287879393</v>
      </c>
    </row>
    <row r="52" spans="1:17" x14ac:dyDescent="0.25">
      <c r="A52" s="3">
        <v>46182</v>
      </c>
      <c r="B52" s="4">
        <v>28</v>
      </c>
      <c r="C52" s="5">
        <v>1.9288025672832814</v>
      </c>
      <c r="D52" s="6">
        <v>1.81</v>
      </c>
      <c r="E52">
        <v>1.794600248336792</v>
      </c>
      <c r="F52">
        <f t="shared" si="2"/>
        <v>1.4114049993098583E-2</v>
      </c>
      <c r="G52">
        <f t="shared" si="0"/>
        <v>2.3715235128847945E-4</v>
      </c>
      <c r="K52">
        <v>1.794600248336792</v>
      </c>
      <c r="L52" s="15">
        <v>1.7941901683807371</v>
      </c>
      <c r="M52" s="15">
        <v>1.7980804443359379</v>
      </c>
      <c r="O52" s="11">
        <f t="shared" si="1"/>
        <v>2.3715235128847945E-4</v>
      </c>
      <c r="P52" s="11">
        <f>(L52-$D52)^2</f>
        <v>2.4995077582944721E-4</v>
      </c>
      <c r="Q52" s="11">
        <f>(M52-$D52)^2</f>
        <v>1.420758072286751E-4</v>
      </c>
    </row>
    <row r="53" spans="1:17" x14ac:dyDescent="0.25">
      <c r="A53" s="7">
        <v>46182</v>
      </c>
      <c r="B53" s="4">
        <v>29</v>
      </c>
      <c r="C53" s="5">
        <v>2.3809960955927929</v>
      </c>
      <c r="D53" s="6">
        <v>2.17</v>
      </c>
      <c r="E53">
        <v>2.2250854969024658</v>
      </c>
      <c r="F53">
        <f t="shared" si="2"/>
        <v>4.4519352355403032E-2</v>
      </c>
      <c r="G53">
        <f t="shared" si="0"/>
        <v>3.0344119689915791E-3</v>
      </c>
      <c r="K53">
        <v>2.2250854969024658</v>
      </c>
      <c r="L53" s="15">
        <v>2.2096362113952641</v>
      </c>
      <c r="M53" s="15">
        <v>2.290114164352417</v>
      </c>
      <c r="O53" s="11">
        <f t="shared" si="1"/>
        <v>3.0344119689915791E-3</v>
      </c>
      <c r="P53" s="11">
        <f>(L53-$D53)^2</f>
        <v>1.5710292537700705E-3</v>
      </c>
      <c r="Q53" s="11">
        <f>(M53-$D53)^2</f>
        <v>1.4427412478079459E-2</v>
      </c>
    </row>
    <row r="54" spans="1:17" x14ac:dyDescent="0.25">
      <c r="A54" s="3">
        <v>46183</v>
      </c>
      <c r="B54" s="4">
        <v>6</v>
      </c>
      <c r="C54" s="5">
        <v>4.2070143854174953</v>
      </c>
      <c r="D54" s="6">
        <v>3.82</v>
      </c>
      <c r="E54">
        <v>3.665492057800293</v>
      </c>
      <c r="F54">
        <f t="shared" si="2"/>
        <v>0.14978013452008171</v>
      </c>
      <c r="G54">
        <f t="shared" si="0"/>
        <v>2.3872704202787958E-2</v>
      </c>
      <c r="K54">
        <v>3.665492057800293</v>
      </c>
      <c r="L54" s="15">
        <v>3.6333918571472168</v>
      </c>
      <c r="M54" s="15">
        <v>3.6586647033691411</v>
      </c>
      <c r="O54" s="11">
        <f t="shared" si="1"/>
        <v>2.3872704202787958E-2</v>
      </c>
      <c r="P54" s="11">
        <f>(L54-$D54)^2</f>
        <v>3.4822598978964683E-2</v>
      </c>
      <c r="Q54" s="11">
        <f>(M54-$D54)^2</f>
        <v>2.602907793896719E-2</v>
      </c>
    </row>
    <row r="55" spans="1:17" x14ac:dyDescent="0.25">
      <c r="A55" s="3">
        <v>46183</v>
      </c>
      <c r="B55" s="4">
        <v>7</v>
      </c>
      <c r="C55" s="5">
        <v>6.2188955665913577</v>
      </c>
      <c r="D55" s="6">
        <v>6.08</v>
      </c>
      <c r="E55">
        <v>5.6540427207946777</v>
      </c>
      <c r="F55">
        <f t="shared" si="2"/>
        <v>1.9291978418734253E-2</v>
      </c>
      <c r="G55">
        <f t="shared" si="0"/>
        <v>0.18143960370800094</v>
      </c>
      <c r="K55">
        <v>5.6540427207946777</v>
      </c>
      <c r="L55" s="15">
        <v>5.5760159492492676</v>
      </c>
      <c r="M55" s="15">
        <v>5.8416843414306641</v>
      </c>
      <c r="O55" s="11">
        <f t="shared" si="1"/>
        <v>0.18143960370800094</v>
      </c>
      <c r="P55" s="11">
        <f>(L55-$D55)^2</f>
        <v>0.25399992341111688</v>
      </c>
      <c r="Q55" s="11">
        <f>(M55-$D55)^2</f>
        <v>5.6794353119336338E-2</v>
      </c>
    </row>
    <row r="56" spans="1:17" x14ac:dyDescent="0.25">
      <c r="A56" s="3">
        <v>46183</v>
      </c>
      <c r="B56" s="4">
        <v>8</v>
      </c>
      <c r="C56" s="5">
        <v>7.8073916114405728</v>
      </c>
      <c r="D56" s="6">
        <v>7.47</v>
      </c>
      <c r="E56">
        <v>7.6713943481445313</v>
      </c>
      <c r="F56">
        <f t="shared" si="2"/>
        <v>0.11383309947046663</v>
      </c>
      <c r="G56">
        <f t="shared" si="0"/>
        <v>4.0559683464560757E-2</v>
      </c>
      <c r="K56">
        <v>7.6713943481445313</v>
      </c>
      <c r="L56" s="15">
        <v>7.7942218780517578</v>
      </c>
      <c r="M56" s="15">
        <v>7.8551950454711914</v>
      </c>
      <c r="O56" s="11">
        <f t="shared" si="1"/>
        <v>4.0559683464560757E-2</v>
      </c>
      <c r="P56" s="11">
        <f>(L56-$D56)^2</f>
        <v>0.10511982620740908</v>
      </c>
      <c r="Q56" s="11">
        <f>(M56-$D56)^2</f>
        <v>0.1483752230555534</v>
      </c>
    </row>
    <row r="57" spans="1:17" x14ac:dyDescent="0.25">
      <c r="A57" s="3">
        <v>46183</v>
      </c>
      <c r="B57" s="4">
        <v>9</v>
      </c>
      <c r="C57" s="5">
        <v>8.6948337866961616</v>
      </c>
      <c r="D57" s="6">
        <v>8.57</v>
      </c>
      <c r="E57">
        <v>8.5219449996948242</v>
      </c>
      <c r="F57">
        <f t="shared" si="2"/>
        <v>1.5583474300902697E-2</v>
      </c>
      <c r="G57">
        <f t="shared" si="0"/>
        <v>2.3092830543304716E-3</v>
      </c>
      <c r="K57">
        <v>8.5219449996948242</v>
      </c>
      <c r="L57" s="15">
        <v>8.6155509948730469</v>
      </c>
      <c r="M57" s="15">
        <v>8.5875358581542969</v>
      </c>
      <c r="O57" s="11">
        <f t="shared" si="1"/>
        <v>2.3092830543304716E-3</v>
      </c>
      <c r="P57" s="11">
        <f>(L57-$D57)^2</f>
        <v>2.0748931339243169E-3</v>
      </c>
      <c r="Q57" s="11">
        <f>(M57-$D57)^2</f>
        <v>3.0750632120761024E-4</v>
      </c>
    </row>
    <row r="58" spans="1:17" x14ac:dyDescent="0.25">
      <c r="A58" s="3">
        <v>46183</v>
      </c>
      <c r="B58" s="4">
        <v>10</v>
      </c>
      <c r="C58" s="5">
        <v>9.0884235154160944</v>
      </c>
      <c r="D58" s="6">
        <v>8.92</v>
      </c>
      <c r="E58">
        <v>8.6319637298583984</v>
      </c>
      <c r="F58">
        <f t="shared" si="2"/>
        <v>2.8366480545115407E-2</v>
      </c>
      <c r="G58">
        <f t="shared" si="0"/>
        <v>8.2964892917085628E-2</v>
      </c>
      <c r="K58">
        <v>8.6319637298583984</v>
      </c>
      <c r="L58" s="15">
        <v>8.6465940475463867</v>
      </c>
      <c r="M58" s="15">
        <v>8.7201166152954102</v>
      </c>
      <c r="O58" s="11">
        <f t="shared" si="1"/>
        <v>8.2964892917085628E-2</v>
      </c>
      <c r="P58" s="11">
        <f>(L58-$D58)^2</f>
        <v>7.4750814837067414E-2</v>
      </c>
      <c r="Q58" s="11">
        <f>(M58-$D58)^2</f>
        <v>3.995336748096303E-2</v>
      </c>
    </row>
    <row r="59" spans="1:17" x14ac:dyDescent="0.25">
      <c r="A59" s="3">
        <v>46183</v>
      </c>
      <c r="B59" s="4">
        <v>11</v>
      </c>
      <c r="C59" s="5">
        <v>9.0758436820587711</v>
      </c>
      <c r="D59" s="6">
        <v>8.91</v>
      </c>
      <c r="E59">
        <v>8.4286231994628906</v>
      </c>
      <c r="F59">
        <f t="shared" si="2"/>
        <v>2.7504126878810715E-2</v>
      </c>
      <c r="G59">
        <f t="shared" si="0"/>
        <v>0.23172362409534411</v>
      </c>
      <c r="K59">
        <v>8.4286231994628906</v>
      </c>
      <c r="L59" s="15">
        <v>8.5920705795288086</v>
      </c>
      <c r="M59" s="15">
        <v>8.5115442276000977</v>
      </c>
      <c r="O59" s="11">
        <f t="shared" si="1"/>
        <v>0.23172362409534411</v>
      </c>
      <c r="P59" s="11">
        <f>(L59-$D59)^2</f>
        <v>0.10107911640114771</v>
      </c>
      <c r="Q59" s="11">
        <f>(M59-$D59)^2</f>
        <v>0.15876700255880288</v>
      </c>
    </row>
    <row r="60" spans="1:17" x14ac:dyDescent="0.25">
      <c r="A60" s="3">
        <v>46183</v>
      </c>
      <c r="B60" s="4">
        <v>12</v>
      </c>
      <c r="C60" s="5">
        <v>9.1968703547033623</v>
      </c>
      <c r="D60" s="6">
        <v>9</v>
      </c>
      <c r="E60">
        <v>8.3684225082397461</v>
      </c>
      <c r="F60">
        <f t="shared" si="2"/>
        <v>3.8757936561027703E-2</v>
      </c>
      <c r="G60">
        <f t="shared" si="0"/>
        <v>0.39889012809817359</v>
      </c>
      <c r="K60">
        <v>8.3684225082397461</v>
      </c>
      <c r="L60" s="15">
        <v>8.5626821517944336</v>
      </c>
      <c r="M60" s="15">
        <v>8.4652261734008789</v>
      </c>
      <c r="O60" s="11">
        <f t="shared" si="1"/>
        <v>0.39889012809817359</v>
      </c>
      <c r="P60" s="11">
        <f>(L60-$D60)^2</f>
        <v>0.19124690035914682</v>
      </c>
      <c r="Q60" s="11">
        <f>(M60-$D60)^2</f>
        <v>0.28598304561546684</v>
      </c>
    </row>
    <row r="61" spans="1:17" x14ac:dyDescent="0.25">
      <c r="A61" s="3">
        <v>46183</v>
      </c>
      <c r="B61" s="4">
        <v>13</v>
      </c>
      <c r="C61" s="5">
        <v>9.44008046627828</v>
      </c>
      <c r="D61" s="6">
        <v>9.6300000000000008</v>
      </c>
      <c r="E61">
        <v>8.7266912460327148</v>
      </c>
      <c r="F61">
        <f t="shared" si="2"/>
        <v>3.6069429289075833E-2</v>
      </c>
      <c r="G61">
        <f t="shared" si="0"/>
        <v>0.81596670499393076</v>
      </c>
      <c r="K61">
        <v>8.7266912460327148</v>
      </c>
      <c r="L61" s="15">
        <v>8.834808349609375</v>
      </c>
      <c r="M61" s="15">
        <v>8.9042577743530273</v>
      </c>
      <c r="O61" s="11">
        <f t="shared" si="1"/>
        <v>0.81596670499393076</v>
      </c>
      <c r="P61" s="11">
        <f>(L61-$D61)^2</f>
        <v>0.63232976085096726</v>
      </c>
      <c r="Q61" s="11">
        <f>(M61-$D61)^2</f>
        <v>0.52670177808702257</v>
      </c>
    </row>
    <row r="62" spans="1:17" x14ac:dyDescent="0.25">
      <c r="A62" s="3">
        <v>46183</v>
      </c>
      <c r="B62" s="4">
        <v>14</v>
      </c>
      <c r="C62" s="5">
        <v>10.386235760323997</v>
      </c>
      <c r="D62" s="6">
        <v>10.61</v>
      </c>
      <c r="E62">
        <v>9.5899457931518555</v>
      </c>
      <c r="F62">
        <f t="shared" si="2"/>
        <v>5.0070434957779568E-2</v>
      </c>
      <c r="G62">
        <f t="shared" si="0"/>
        <v>1.040510584908596</v>
      </c>
      <c r="K62">
        <v>9.5899457931518555</v>
      </c>
      <c r="L62" s="15">
        <v>9.8069467544555664</v>
      </c>
      <c r="M62" s="15">
        <v>9.9429187774658203</v>
      </c>
      <c r="O62" s="11">
        <f t="shared" si="1"/>
        <v>1.040510584908596</v>
      </c>
      <c r="P62" s="11">
        <f>(L62-$D62)^2</f>
        <v>0.6448945151794474</v>
      </c>
      <c r="Q62" s="11">
        <f>(M62-$D62)^2</f>
        <v>0.44499735745769503</v>
      </c>
    </row>
    <row r="63" spans="1:17" x14ac:dyDescent="0.25">
      <c r="A63" s="3">
        <v>46183</v>
      </c>
      <c r="B63" s="4">
        <v>15</v>
      </c>
      <c r="C63" s="5">
        <v>12.194196396817791</v>
      </c>
      <c r="D63" s="6">
        <v>12.57</v>
      </c>
      <c r="E63">
        <v>11.3147439956665</v>
      </c>
      <c r="F63">
        <f t="shared" si="2"/>
        <v>0.14122834816473151</v>
      </c>
      <c r="G63">
        <f t="shared" si="0"/>
        <v>1.5756676364153035</v>
      </c>
      <c r="K63">
        <v>11.3147439956665</v>
      </c>
      <c r="L63" s="15">
        <v>11.600625991821291</v>
      </c>
      <c r="M63" s="15">
        <v>11.831113815307621</v>
      </c>
      <c r="O63" s="11">
        <f t="shared" si="1"/>
        <v>1.5756676364153035</v>
      </c>
      <c r="P63" s="11">
        <f>(L63-$D63)^2</f>
        <v>0.93968596773245661</v>
      </c>
      <c r="Q63" s="11">
        <f>(M63-$D63)^2</f>
        <v>0.54595279392926122</v>
      </c>
    </row>
    <row r="64" spans="1:17" x14ac:dyDescent="0.25">
      <c r="A64" s="3">
        <v>46183</v>
      </c>
      <c r="B64" s="4">
        <v>16</v>
      </c>
      <c r="C64" s="5">
        <v>14.442741838347191</v>
      </c>
      <c r="D64" s="6">
        <v>14.75</v>
      </c>
      <c r="E64">
        <v>13.441178321838381</v>
      </c>
      <c r="F64">
        <f t="shared" si="2"/>
        <v>9.4407577902263951E-2</v>
      </c>
      <c r="G64">
        <f t="shared" si="0"/>
        <v>1.7130141852257974</v>
      </c>
      <c r="K64">
        <v>13.441178321838381</v>
      </c>
      <c r="L64" s="15">
        <v>13.88248920440674</v>
      </c>
      <c r="M64" s="15">
        <v>13.965357780456539</v>
      </c>
      <c r="O64" s="11">
        <f t="shared" si="1"/>
        <v>1.7130141852257974</v>
      </c>
      <c r="P64" s="11">
        <f>(L64-$D64)^2</f>
        <v>0.75257498047085081</v>
      </c>
      <c r="Q64" s="11">
        <f>(M64-$D64)^2</f>
        <v>0.61566341269008817</v>
      </c>
    </row>
    <row r="65" spans="1:17" x14ac:dyDescent="0.25">
      <c r="A65" s="3">
        <v>46183</v>
      </c>
      <c r="B65" s="4">
        <v>17</v>
      </c>
      <c r="C65" s="5">
        <v>16.769143434737707</v>
      </c>
      <c r="D65" s="6">
        <v>17.579999999999998</v>
      </c>
      <c r="E65">
        <v>15.239824295043951</v>
      </c>
      <c r="F65">
        <f t="shared" si="2"/>
        <v>0.65748836942896072</v>
      </c>
      <c r="G65">
        <f t="shared" si="0"/>
        <v>5.4764223300665344</v>
      </c>
      <c r="K65">
        <v>15.239824295043951</v>
      </c>
      <c r="L65" s="15">
        <v>15.67404365539551</v>
      </c>
      <c r="M65" s="15">
        <v>15.349557876586911</v>
      </c>
      <c r="O65" s="11">
        <f t="shared" si="1"/>
        <v>5.4764223300665344</v>
      </c>
      <c r="P65" s="11">
        <f>(L65-$D65)^2</f>
        <v>3.6326695875381043</v>
      </c>
      <c r="Q65" s="11">
        <f>(M65-$D65)^2</f>
        <v>4.9748720658954841</v>
      </c>
    </row>
    <row r="66" spans="1:17" x14ac:dyDescent="0.25">
      <c r="A66" s="3">
        <v>46183</v>
      </c>
      <c r="B66" s="4">
        <v>18</v>
      </c>
      <c r="C66" s="5">
        <v>18.793820619968542</v>
      </c>
      <c r="D66" s="6">
        <v>20.7</v>
      </c>
      <c r="E66">
        <v>17.28264045715332</v>
      </c>
      <c r="F66">
        <f t="shared" si="2"/>
        <v>3.6335198288571089</v>
      </c>
      <c r="G66">
        <f t="shared" si="2"/>
        <v>11.678346245085264</v>
      </c>
      <c r="K66">
        <v>17.28264045715332</v>
      </c>
      <c r="L66" s="15">
        <v>17.40312385559082</v>
      </c>
      <c r="M66" s="15">
        <v>17.3572998046875</v>
      </c>
      <c r="O66" s="11">
        <f t="shared" ref="O66:O129" si="3">(K66-$D66)^2</f>
        <v>11.678346245085264</v>
      </c>
      <c r="P66" s="11">
        <f>(L66-$D66)^2</f>
        <v>10.869392311574334</v>
      </c>
      <c r="Q66" s="11">
        <f>(M66-$D66)^2</f>
        <v>11.173644595742221</v>
      </c>
    </row>
    <row r="67" spans="1:17" x14ac:dyDescent="0.25">
      <c r="A67" s="3">
        <v>46183</v>
      </c>
      <c r="B67" s="4">
        <v>19</v>
      </c>
      <c r="C67" s="5">
        <v>22.297694239535119</v>
      </c>
      <c r="D67" s="6">
        <v>24.07</v>
      </c>
      <c r="E67">
        <v>20.608442306518551</v>
      </c>
      <c r="F67">
        <f t="shared" ref="F67:G130" si="4">(C67-D67)^2</f>
        <v>3.141067708577002</v>
      </c>
      <c r="G67">
        <f t="shared" si="4"/>
        <v>11.982381665300609</v>
      </c>
      <c r="K67">
        <v>20.608442306518551</v>
      </c>
      <c r="L67" s="15">
        <v>20.654678344726559</v>
      </c>
      <c r="M67" s="15">
        <v>20.479543685913089</v>
      </c>
      <c r="O67" s="11">
        <f t="shared" si="3"/>
        <v>11.982381665300609</v>
      </c>
      <c r="P67" s="11">
        <f>(L67-$D67)^2</f>
        <v>11.66442200897972</v>
      </c>
      <c r="Q67" s="11">
        <f>(M67-$D67)^2</f>
        <v>12.891376543366565</v>
      </c>
    </row>
    <row r="68" spans="1:17" x14ac:dyDescent="0.25">
      <c r="A68" s="3">
        <v>46183</v>
      </c>
      <c r="B68" s="4">
        <v>20</v>
      </c>
      <c r="C68" s="5">
        <v>25.054129199001189</v>
      </c>
      <c r="D68" s="6">
        <v>25.85</v>
      </c>
      <c r="E68">
        <v>23.279779434204102</v>
      </c>
      <c r="F68">
        <f t="shared" si="4"/>
        <v>0.63341033188249207</v>
      </c>
      <c r="G68">
        <f t="shared" si="4"/>
        <v>6.6060337568401959</v>
      </c>
      <c r="K68">
        <v>23.279779434204102</v>
      </c>
      <c r="L68" s="15">
        <v>23.155368804931641</v>
      </c>
      <c r="M68" s="15">
        <v>22.881755828857418</v>
      </c>
      <c r="O68" s="11">
        <f t="shared" si="3"/>
        <v>6.6060337568401959</v>
      </c>
      <c r="P68" s="11">
        <f>(L68-$D68)^2</f>
        <v>7.2610372774355421</v>
      </c>
      <c r="Q68" s="11">
        <f>(M68-$D68)^2</f>
        <v>8.810473459521921</v>
      </c>
    </row>
    <row r="69" spans="1:17" x14ac:dyDescent="0.25">
      <c r="A69" s="3">
        <v>46183</v>
      </c>
      <c r="B69" s="4">
        <v>21</v>
      </c>
      <c r="C69" s="5">
        <v>25.935685131096356</v>
      </c>
      <c r="D69" s="6">
        <v>26.16</v>
      </c>
      <c r="E69">
        <v>24.813119888305661</v>
      </c>
      <c r="F69">
        <f t="shared" si="4"/>
        <v>5.0317160411258915E-2</v>
      </c>
      <c r="G69">
        <f t="shared" si="4"/>
        <v>1.8140860352777568</v>
      </c>
      <c r="K69">
        <v>24.813119888305661</v>
      </c>
      <c r="L69" s="15">
        <v>24.67072677612305</v>
      </c>
      <c r="M69" s="15">
        <v>24.317022323608398</v>
      </c>
      <c r="O69" s="11">
        <f t="shared" si="3"/>
        <v>1.8140860352777568</v>
      </c>
      <c r="P69" s="11">
        <f>(L69-$D69)^2</f>
        <v>2.217934735356843</v>
      </c>
      <c r="Q69" s="11">
        <f>(M69-$D69)^2</f>
        <v>3.3965667156777872</v>
      </c>
    </row>
    <row r="70" spans="1:17" x14ac:dyDescent="0.25">
      <c r="A70" s="3">
        <v>46183</v>
      </c>
      <c r="B70" s="4">
        <v>22</v>
      </c>
      <c r="C70" s="5">
        <v>23.107032791347766</v>
      </c>
      <c r="D70" s="6">
        <v>22.43</v>
      </c>
      <c r="E70">
        <v>22.556962966918949</v>
      </c>
      <c r="F70">
        <f t="shared" si="4"/>
        <v>0.45837340056014836</v>
      </c>
      <c r="G70">
        <f t="shared" si="4"/>
        <v>1.6119594968862175E-2</v>
      </c>
      <c r="K70">
        <v>22.556962966918949</v>
      </c>
      <c r="L70" s="15">
        <v>22.298114776611332</v>
      </c>
      <c r="M70" s="15">
        <v>22.266984939575199</v>
      </c>
      <c r="O70" s="11">
        <f t="shared" si="3"/>
        <v>1.6119594968862175E-2</v>
      </c>
      <c r="P70" s="11">
        <f>(L70-$D70)^2</f>
        <v>1.739371214827887E-2</v>
      </c>
      <c r="Q70" s="11">
        <f>(M70-$D70)^2</f>
        <v>2.6573909925301474E-2</v>
      </c>
    </row>
    <row r="71" spans="1:17" x14ac:dyDescent="0.25">
      <c r="A71" s="3">
        <v>46183</v>
      </c>
      <c r="B71" s="4">
        <v>23</v>
      </c>
      <c r="C71" s="5">
        <v>14.743210435107926</v>
      </c>
      <c r="D71" s="6">
        <v>14.25</v>
      </c>
      <c r="E71">
        <v>15.375551223754879</v>
      </c>
      <c r="F71">
        <f t="shared" si="4"/>
        <v>0.24325653329934974</v>
      </c>
      <c r="G71">
        <f t="shared" si="4"/>
        <v>1.2668655572961063</v>
      </c>
      <c r="K71">
        <v>15.375551223754879</v>
      </c>
      <c r="L71" s="15">
        <v>14.813375473022459</v>
      </c>
      <c r="M71" s="15">
        <v>15.29558181762695</v>
      </c>
      <c r="O71" s="11">
        <f t="shared" si="3"/>
        <v>1.2668655572961063</v>
      </c>
      <c r="P71" s="11">
        <f>(L71-$D71)^2</f>
        <v>0.31739192360327961</v>
      </c>
      <c r="Q71" s="11">
        <f>(M71-$D71)^2</f>
        <v>1.0932413373520757</v>
      </c>
    </row>
    <row r="72" spans="1:17" x14ac:dyDescent="0.25">
      <c r="A72" s="3">
        <v>46183</v>
      </c>
      <c r="B72" s="4">
        <v>24</v>
      </c>
      <c r="C72" s="5">
        <v>8.7543112755417187</v>
      </c>
      <c r="D72" s="6">
        <v>8.08</v>
      </c>
      <c r="E72">
        <v>8.9485416412353516</v>
      </c>
      <c r="F72">
        <f t="shared" si="4"/>
        <v>0.45469569632269963</v>
      </c>
      <c r="G72">
        <f t="shared" si="4"/>
        <v>0.75436458255979799</v>
      </c>
      <c r="K72">
        <v>8.9485416412353516</v>
      </c>
      <c r="L72" s="15">
        <v>8.5788059234619141</v>
      </c>
      <c r="M72" s="15">
        <v>8.8295040130615234</v>
      </c>
      <c r="O72" s="11">
        <f t="shared" si="3"/>
        <v>0.75436458255979799</v>
      </c>
      <c r="P72" s="11">
        <f>(L72-$D72)^2</f>
        <v>0.24880734928069279</v>
      </c>
      <c r="Q72" s="11">
        <f>(M72-$D72)^2</f>
        <v>0.56175626559532821</v>
      </c>
    </row>
    <row r="73" spans="1:17" x14ac:dyDescent="0.25">
      <c r="A73" s="3">
        <v>46183</v>
      </c>
      <c r="B73" s="4">
        <v>25</v>
      </c>
      <c r="C73" s="5">
        <v>5.4195581462607452</v>
      </c>
      <c r="D73" s="6">
        <v>5.14</v>
      </c>
      <c r="E73">
        <v>5.2365012168884277</v>
      </c>
      <c r="F73">
        <f t="shared" si="4"/>
        <v>7.8152757140744364E-2</v>
      </c>
      <c r="G73">
        <f t="shared" si="4"/>
        <v>9.3124848609474325E-3</v>
      </c>
      <c r="K73">
        <v>5.2365012168884277</v>
      </c>
      <c r="L73" s="15">
        <v>5.0046086311340332</v>
      </c>
      <c r="M73" s="15">
        <v>5.2941985130310059</v>
      </c>
      <c r="O73" s="11">
        <f t="shared" si="3"/>
        <v>9.3124848609474325E-3</v>
      </c>
      <c r="P73" s="11">
        <f>(L73-$D73)^2</f>
        <v>1.8330822763400197E-2</v>
      </c>
      <c r="Q73" s="11">
        <f>(M73-$D73)^2</f>
        <v>2.3777181420973383E-2</v>
      </c>
    </row>
    <row r="74" spans="1:17" x14ac:dyDescent="0.25">
      <c r="A74" s="3">
        <v>46183</v>
      </c>
      <c r="B74" s="4">
        <v>26</v>
      </c>
      <c r="C74" s="5">
        <v>3.1594540187710698</v>
      </c>
      <c r="D74" s="6">
        <v>3.6</v>
      </c>
      <c r="E74">
        <v>3.1921262741088872</v>
      </c>
      <c r="F74">
        <f t="shared" si="4"/>
        <v>0.194080761576961</v>
      </c>
      <c r="G74">
        <f t="shared" si="4"/>
        <v>0.16636097627229873</v>
      </c>
      <c r="K74">
        <v>3.1921262741088872</v>
      </c>
      <c r="L74" s="15">
        <v>3.026227474212646</v>
      </c>
      <c r="M74" s="15">
        <v>3.3514165878295898</v>
      </c>
      <c r="O74" s="11">
        <f t="shared" si="3"/>
        <v>0.16636097627229873</v>
      </c>
      <c r="P74" s="11">
        <f>(L74-$D74)^2</f>
        <v>0.32921491134839986</v>
      </c>
      <c r="Q74" s="11">
        <f>(M74-$D74)^2</f>
        <v>6.1793712806284061E-2</v>
      </c>
    </row>
    <row r="75" spans="1:17" x14ac:dyDescent="0.25">
      <c r="A75" s="3">
        <v>46183</v>
      </c>
      <c r="B75" s="4">
        <v>27</v>
      </c>
      <c r="C75" s="5">
        <v>2.0537242676565008</v>
      </c>
      <c r="D75" s="6">
        <v>2.27</v>
      </c>
      <c r="E75">
        <v>2.1102316379547119</v>
      </c>
      <c r="F75">
        <f t="shared" si="4"/>
        <v>4.677519240071689E-2</v>
      </c>
      <c r="G75">
        <f t="shared" si="4"/>
        <v>2.5525929510634256E-2</v>
      </c>
      <c r="K75">
        <v>2.1102316379547119</v>
      </c>
      <c r="L75" s="15">
        <v>2.0537412166595459</v>
      </c>
      <c r="M75" s="15">
        <v>2.251994371414185</v>
      </c>
      <c r="O75" s="11">
        <f t="shared" si="3"/>
        <v>2.5525929510634256E-2</v>
      </c>
      <c r="P75" s="11">
        <f>(L75-$D75)^2</f>
        <v>4.6767861371893475E-2</v>
      </c>
      <c r="Q75" s="11">
        <f>(M75-$D75)^2</f>
        <v>3.242026607703184E-4</v>
      </c>
    </row>
    <row r="76" spans="1:17" x14ac:dyDescent="0.25">
      <c r="A76" s="3">
        <v>46183</v>
      </c>
      <c r="B76" s="4">
        <v>28</v>
      </c>
      <c r="C76" s="5">
        <v>1.695941609675137</v>
      </c>
      <c r="D76" s="6">
        <v>1.68</v>
      </c>
      <c r="E76">
        <v>1.7271547317504881</v>
      </c>
      <c r="F76">
        <f t="shared" si="4"/>
        <v>2.5413491903442239E-4</v>
      </c>
      <c r="G76">
        <f t="shared" si="4"/>
        <v>2.2235687264604924E-3</v>
      </c>
      <c r="K76">
        <v>1.7271547317504881</v>
      </c>
      <c r="L76" s="15">
        <v>1.6556293964385991</v>
      </c>
      <c r="M76" s="15">
        <v>1.7945184707641599</v>
      </c>
      <c r="O76" s="11">
        <f t="shared" si="3"/>
        <v>2.2235687264604924E-3</v>
      </c>
      <c r="P76" s="11">
        <f>(L76-$D76)^2</f>
        <v>5.9392631794696438E-4</v>
      </c>
      <c r="Q76" s="11">
        <f>(M76-$D76)^2</f>
        <v>1.3114480146161768E-2</v>
      </c>
    </row>
    <row r="77" spans="1:17" x14ac:dyDescent="0.25">
      <c r="A77" s="7">
        <v>46183</v>
      </c>
      <c r="B77" s="4">
        <v>29</v>
      </c>
      <c r="C77" s="5">
        <v>2.1485668950135879</v>
      </c>
      <c r="D77" s="6">
        <v>2.29</v>
      </c>
      <c r="E77">
        <v>2.1455874443054199</v>
      </c>
      <c r="F77">
        <f t="shared" si="4"/>
        <v>2.0003323186097481E-2</v>
      </c>
      <c r="G77">
        <f t="shared" si="4"/>
        <v>2.0854986242240203E-2</v>
      </c>
      <c r="K77">
        <v>2.1455874443054199</v>
      </c>
      <c r="L77" s="15">
        <v>2.0393879413604741</v>
      </c>
      <c r="M77" s="15">
        <v>2.2596085071563721</v>
      </c>
      <c r="O77" s="11">
        <f t="shared" si="3"/>
        <v>2.0854986242240203E-2</v>
      </c>
      <c r="P77" s="11">
        <f>(L77-$D77)^2</f>
        <v>6.2806403935541197E-2</v>
      </c>
      <c r="Q77" s="11">
        <f>(M77-$D77)^2</f>
        <v>9.2364283726428982E-4</v>
      </c>
    </row>
    <row r="78" spans="1:17" x14ac:dyDescent="0.25">
      <c r="A78" s="3">
        <v>46184</v>
      </c>
      <c r="B78" s="4">
        <v>6</v>
      </c>
      <c r="C78" s="5">
        <v>3.8538836248418011</v>
      </c>
      <c r="D78" s="6">
        <v>3.99</v>
      </c>
      <c r="E78">
        <v>3.6504635810852051</v>
      </c>
      <c r="F78">
        <f t="shared" si="4"/>
        <v>1.8527667586207594E-2</v>
      </c>
      <c r="G78">
        <f t="shared" si="4"/>
        <v>0.11528497976948325</v>
      </c>
      <c r="K78">
        <v>3.6504635810852051</v>
      </c>
      <c r="L78" s="15">
        <v>3.5545945167541499</v>
      </c>
      <c r="M78" s="15">
        <v>3.6929807662963872</v>
      </c>
      <c r="O78" s="11">
        <f t="shared" si="3"/>
        <v>0.11528497976948325</v>
      </c>
      <c r="P78" s="11">
        <f>(L78-$D78)^2</f>
        <v>0.18957793484055241</v>
      </c>
      <c r="Q78" s="11">
        <f>(M78-$D78)^2</f>
        <v>8.8220425189881505E-2</v>
      </c>
    </row>
    <row r="79" spans="1:17" x14ac:dyDescent="0.25">
      <c r="A79" s="3">
        <v>46184</v>
      </c>
      <c r="B79" s="4">
        <v>7</v>
      </c>
      <c r="C79" s="5">
        <v>5.9121963437802068</v>
      </c>
      <c r="D79" s="6">
        <v>5.76</v>
      </c>
      <c r="E79">
        <v>5.4051456451416016</v>
      </c>
      <c r="F79">
        <f t="shared" si="4"/>
        <v>2.3163727060062943E-2</v>
      </c>
      <c r="G79">
        <f t="shared" si="4"/>
        <v>0.12592161316197001</v>
      </c>
      <c r="K79">
        <v>5.4051456451416016</v>
      </c>
      <c r="L79" s="15">
        <v>5.4274702072143546</v>
      </c>
      <c r="M79" s="15">
        <v>5.4960002899169922</v>
      </c>
      <c r="O79" s="11">
        <f t="shared" si="3"/>
        <v>0.12592161316197001</v>
      </c>
      <c r="P79" s="11">
        <f>(L79-$D79)^2</f>
        <v>0.11057606309006414</v>
      </c>
      <c r="Q79" s="11">
        <f>(M79-$D79)^2</f>
        <v>6.9695846923912064E-2</v>
      </c>
    </row>
    <row r="80" spans="1:17" x14ac:dyDescent="0.25">
      <c r="A80" s="3">
        <v>46184</v>
      </c>
      <c r="B80" s="4">
        <v>8</v>
      </c>
      <c r="C80" s="5">
        <v>7.6410345846906509</v>
      </c>
      <c r="D80" s="6">
        <v>7.63</v>
      </c>
      <c r="E80">
        <v>7.4318437576293954</v>
      </c>
      <c r="F80">
        <f t="shared" si="4"/>
        <v>1.2176205929514931E-4</v>
      </c>
      <c r="G80">
        <f t="shared" si="4"/>
        <v>3.9265896390437746E-2</v>
      </c>
      <c r="K80">
        <v>7.4318437576293954</v>
      </c>
      <c r="L80" s="15">
        <v>7.4957494735717773</v>
      </c>
      <c r="M80" s="15">
        <v>7.3218994140625</v>
      </c>
      <c r="O80" s="11">
        <f t="shared" si="3"/>
        <v>3.9265896390437746E-2</v>
      </c>
      <c r="P80" s="11">
        <f>(L80-$D80)^2</f>
        <v>1.802320384625488E-2</v>
      </c>
      <c r="Q80" s="11">
        <f>(M80-$D80)^2</f>
        <v>9.4925971055030756E-2</v>
      </c>
    </row>
    <row r="81" spans="1:17" x14ac:dyDescent="0.25">
      <c r="A81" s="3">
        <v>46184</v>
      </c>
      <c r="B81" s="4">
        <v>9</v>
      </c>
      <c r="C81" s="5">
        <v>8.8721222551125489</v>
      </c>
      <c r="D81" s="6">
        <v>9.16</v>
      </c>
      <c r="E81">
        <v>8.5338554382324219</v>
      </c>
      <c r="F81">
        <f t="shared" si="4"/>
        <v>8.2873596001484445E-2</v>
      </c>
      <c r="G81">
        <f t="shared" si="4"/>
        <v>0.39205701223111261</v>
      </c>
      <c r="K81">
        <v>8.5338554382324219</v>
      </c>
      <c r="L81" s="15">
        <v>8.4276952743530273</v>
      </c>
      <c r="M81" s="15">
        <v>7.6630048751831046</v>
      </c>
      <c r="O81" s="11">
        <f t="shared" si="3"/>
        <v>0.39205701223111261</v>
      </c>
      <c r="P81" s="11">
        <f>(L81-$D81)^2</f>
        <v>0.53627021120488805</v>
      </c>
      <c r="Q81" s="11">
        <f>(M81-$D81)^2</f>
        <v>2.2409944037255527</v>
      </c>
    </row>
    <row r="82" spans="1:17" x14ac:dyDescent="0.25">
      <c r="A82" s="3">
        <v>46184</v>
      </c>
      <c r="B82" s="4">
        <v>10</v>
      </c>
      <c r="C82" s="5">
        <v>9.2875403168435575</v>
      </c>
      <c r="D82" s="6">
        <v>9.57</v>
      </c>
      <c r="E82">
        <v>8.5527400970458984</v>
      </c>
      <c r="F82">
        <f t="shared" si="4"/>
        <v>7.978347260883803E-2</v>
      </c>
      <c r="G82">
        <f t="shared" si="4"/>
        <v>1.0348177101581888</v>
      </c>
      <c r="K82">
        <v>8.5527400970458984</v>
      </c>
      <c r="L82" s="15">
        <v>8.6376886367797852</v>
      </c>
      <c r="M82" s="15">
        <v>7.5242805480957031</v>
      </c>
      <c r="O82" s="11">
        <f t="shared" si="3"/>
        <v>1.0348177101581888</v>
      </c>
      <c r="P82" s="11">
        <f>(L82-$D82)^2</f>
        <v>0.86920447798953593</v>
      </c>
      <c r="Q82" s="11">
        <f>(M82-$D82)^2</f>
        <v>4.1849680758996177</v>
      </c>
    </row>
    <row r="83" spans="1:17" x14ac:dyDescent="0.25">
      <c r="A83" s="3">
        <v>46184</v>
      </c>
      <c r="B83" s="4">
        <v>11</v>
      </c>
      <c r="C83" s="5">
        <v>9.2414630005389</v>
      </c>
      <c r="D83" s="6">
        <v>9.5500000000000007</v>
      </c>
      <c r="E83">
        <v>8.3175630569458008</v>
      </c>
      <c r="F83">
        <f t="shared" si="4"/>
        <v>9.5195080036459254E-2</v>
      </c>
      <c r="G83">
        <f t="shared" si="4"/>
        <v>1.5189008186047812</v>
      </c>
      <c r="K83">
        <v>8.3175630569458008</v>
      </c>
      <c r="L83" s="15">
        <v>8.7462596893310547</v>
      </c>
      <c r="M83" s="15">
        <v>7.7220659255981454</v>
      </c>
      <c r="O83" s="11">
        <f t="shared" si="3"/>
        <v>1.5189008186047812</v>
      </c>
      <c r="P83" s="11">
        <f>(L83-$D83)^2</f>
        <v>0.64599848699421392</v>
      </c>
      <c r="Q83" s="11">
        <f>(M83-$D83)^2</f>
        <v>3.3413429803593675</v>
      </c>
    </row>
    <row r="84" spans="1:17" x14ac:dyDescent="0.25">
      <c r="A84" s="3">
        <v>46184</v>
      </c>
      <c r="B84" s="4">
        <v>12</v>
      </c>
      <c r="C84" s="5">
        <v>8.9557547508504687</v>
      </c>
      <c r="D84" s="6">
        <v>10.19</v>
      </c>
      <c r="E84">
        <v>8.2486696243286133</v>
      </c>
      <c r="F84">
        <f t="shared" si="4"/>
        <v>1.5233613350481874</v>
      </c>
      <c r="G84">
        <f t="shared" si="4"/>
        <v>3.7687636275044056</v>
      </c>
      <c r="K84">
        <v>8.2486696243286133</v>
      </c>
      <c r="L84" s="15">
        <v>8.8485612869262695</v>
      </c>
      <c r="M84" s="15">
        <v>7.7149314880371094</v>
      </c>
      <c r="O84" s="11">
        <f t="shared" si="3"/>
        <v>3.7687636275044056</v>
      </c>
      <c r="P84" s="11">
        <f>(L84-$D84)^2</f>
        <v>1.7994578209329049</v>
      </c>
      <c r="Q84" s="11">
        <f>(M84-$D84)^2</f>
        <v>6.1259641389101951</v>
      </c>
    </row>
    <row r="85" spans="1:17" x14ac:dyDescent="0.25">
      <c r="A85" s="3">
        <v>46184</v>
      </c>
      <c r="B85" s="4">
        <v>13</v>
      </c>
      <c r="C85" s="5">
        <v>9.1485861529404886</v>
      </c>
      <c r="D85" s="6">
        <v>11.03</v>
      </c>
      <c r="E85">
        <v>8.1580276489257813</v>
      </c>
      <c r="F85">
        <f t="shared" si="4"/>
        <v>3.5397180639072681</v>
      </c>
      <c r="G85">
        <f t="shared" si="4"/>
        <v>8.2482251853347712</v>
      </c>
      <c r="K85">
        <v>8.1580276489257813</v>
      </c>
      <c r="L85" s="15">
        <v>9.358912467956543</v>
      </c>
      <c r="M85" s="15">
        <v>7.8761739730834961</v>
      </c>
      <c r="O85" s="11">
        <f t="shared" si="3"/>
        <v>8.2482251853347712</v>
      </c>
      <c r="P85" s="11">
        <f>(L85-$D85)^2</f>
        <v>2.7925335397510898</v>
      </c>
      <c r="Q85" s="11">
        <f>(M85-$D85)^2</f>
        <v>9.9466186080559371</v>
      </c>
    </row>
    <row r="86" spans="1:17" x14ac:dyDescent="0.25">
      <c r="A86" s="3">
        <v>46184</v>
      </c>
      <c r="B86" s="4">
        <v>14</v>
      </c>
      <c r="C86" s="5">
        <v>10.700259279304493</v>
      </c>
      <c r="D86" s="6">
        <v>12.1</v>
      </c>
      <c r="E86">
        <v>9.0926065444946289</v>
      </c>
      <c r="F86">
        <f t="shared" si="4"/>
        <v>1.9592740851731756</v>
      </c>
      <c r="G86">
        <f t="shared" si="4"/>
        <v>9.0444153962165341</v>
      </c>
      <c r="K86">
        <v>9.0926065444946289</v>
      </c>
      <c r="L86" s="15">
        <v>10.43561458587646</v>
      </c>
      <c r="M86" s="15">
        <v>9.6756324768066406</v>
      </c>
      <c r="O86" s="11">
        <f t="shared" si="3"/>
        <v>9.0444153962165341</v>
      </c>
      <c r="P86" s="11">
        <f>(L86-$D86)^2</f>
        <v>2.7701788067471882</v>
      </c>
      <c r="Q86" s="11">
        <f>(M86-$D86)^2</f>
        <v>5.8775578875147021</v>
      </c>
    </row>
    <row r="87" spans="1:17" x14ac:dyDescent="0.25">
      <c r="A87" s="3">
        <v>46184</v>
      </c>
      <c r="B87" s="4">
        <v>15</v>
      </c>
      <c r="C87" s="5">
        <v>12.510430483427553</v>
      </c>
      <c r="D87" s="6">
        <v>13.27</v>
      </c>
      <c r="E87">
        <v>10.560050964355471</v>
      </c>
      <c r="F87">
        <f t="shared" si="4"/>
        <v>0.57694585050609948</v>
      </c>
      <c r="G87">
        <f t="shared" si="4"/>
        <v>7.343823775790713</v>
      </c>
      <c r="K87">
        <v>10.560050964355471</v>
      </c>
      <c r="L87" s="15">
        <v>11.89793682098389</v>
      </c>
      <c r="M87" s="15">
        <v>11.567868232727051</v>
      </c>
      <c r="O87" s="11">
        <f t="shared" si="3"/>
        <v>7.343823775790713</v>
      </c>
      <c r="P87" s="11">
        <f>(L87-$D87)^2</f>
        <v>1.8825573672117919</v>
      </c>
      <c r="Q87" s="11">
        <f>(M87-$D87)^2</f>
        <v>2.8972525531597317</v>
      </c>
    </row>
    <row r="88" spans="1:17" x14ac:dyDescent="0.25">
      <c r="A88" s="3">
        <v>46184</v>
      </c>
      <c r="B88" s="4">
        <v>16</v>
      </c>
      <c r="C88" s="5">
        <v>14.7636011397154</v>
      </c>
      <c r="D88" s="6">
        <v>15.5</v>
      </c>
      <c r="E88">
        <v>13.12561702728271</v>
      </c>
      <c r="F88">
        <f t="shared" si="4"/>
        <v>0.54228328142845827</v>
      </c>
      <c r="G88">
        <f t="shared" si="4"/>
        <v>5.637694501129797</v>
      </c>
      <c r="K88">
        <v>13.12561702728271</v>
      </c>
      <c r="L88" s="15">
        <v>13.974062919616699</v>
      </c>
      <c r="M88" s="15">
        <v>13.28964233398438</v>
      </c>
      <c r="O88" s="11">
        <f t="shared" si="3"/>
        <v>5.637694501129797</v>
      </c>
      <c r="P88" s="11">
        <f>(L88-$D88)^2</f>
        <v>2.3284839732887121</v>
      </c>
      <c r="Q88" s="11">
        <f>(M88-$D88)^2</f>
        <v>4.8856810117140173</v>
      </c>
    </row>
    <row r="89" spans="1:17" x14ac:dyDescent="0.25">
      <c r="A89" s="3">
        <v>46184</v>
      </c>
      <c r="B89" s="4">
        <v>17</v>
      </c>
      <c r="C89" s="5">
        <v>16.617291574651723</v>
      </c>
      <c r="D89" s="6">
        <v>16.96</v>
      </c>
      <c r="E89">
        <v>15.04739570617676</v>
      </c>
      <c r="F89">
        <f t="shared" si="4"/>
        <v>0.1174490648046959</v>
      </c>
      <c r="G89">
        <f t="shared" si="4"/>
        <v>3.6580551847510994</v>
      </c>
      <c r="K89">
        <v>15.04739570617676</v>
      </c>
      <c r="L89" s="15">
        <v>15.770839691162109</v>
      </c>
      <c r="M89" s="15">
        <v>14.96482563018799</v>
      </c>
      <c r="O89" s="11">
        <f t="shared" si="3"/>
        <v>3.6580551847510994</v>
      </c>
      <c r="P89" s="11">
        <f>(L89-$D89)^2</f>
        <v>1.4141022401154295</v>
      </c>
      <c r="Q89" s="11">
        <f>(M89-$D89)^2</f>
        <v>3.9807207659547545</v>
      </c>
    </row>
    <row r="90" spans="1:17" x14ac:dyDescent="0.25">
      <c r="A90" s="3">
        <v>46184</v>
      </c>
      <c r="B90" s="4">
        <v>18</v>
      </c>
      <c r="C90" s="5">
        <v>18.608787851658445</v>
      </c>
      <c r="D90" s="6">
        <v>19.29</v>
      </c>
      <c r="E90">
        <v>17.037754058837891</v>
      </c>
      <c r="F90">
        <f t="shared" si="4"/>
        <v>0.46404999104811606</v>
      </c>
      <c r="G90">
        <f t="shared" si="4"/>
        <v>5.0726117794811918</v>
      </c>
      <c r="K90">
        <v>17.037754058837891</v>
      </c>
      <c r="L90" s="15">
        <v>17.58365631103516</v>
      </c>
      <c r="M90" s="15">
        <v>16.72148513793945</v>
      </c>
      <c r="O90" s="11">
        <f t="shared" si="3"/>
        <v>5.0726117794811918</v>
      </c>
      <c r="P90" s="11">
        <f>(L90-$D90)^2</f>
        <v>2.9116087848701362</v>
      </c>
      <c r="Q90" s="11">
        <f>(M90-$D90)^2</f>
        <v>6.5972685966259244</v>
      </c>
    </row>
    <row r="91" spans="1:17" x14ac:dyDescent="0.25">
      <c r="A91" s="3">
        <v>46184</v>
      </c>
      <c r="B91" s="4">
        <v>19</v>
      </c>
      <c r="C91" s="5">
        <v>22.409229699910444</v>
      </c>
      <c r="D91" s="6">
        <v>23.67</v>
      </c>
      <c r="E91">
        <v>20.368595123291019</v>
      </c>
      <c r="F91">
        <f t="shared" si="4"/>
        <v>1.5895417495879132</v>
      </c>
      <c r="G91">
        <f t="shared" si="4"/>
        <v>10.899274159957852</v>
      </c>
      <c r="K91">
        <v>20.368595123291019</v>
      </c>
      <c r="L91" s="15">
        <v>21.038944244384769</v>
      </c>
      <c r="M91" s="15">
        <v>19.612972259521481</v>
      </c>
      <c r="O91" s="11">
        <f t="shared" si="3"/>
        <v>10.899274159957852</v>
      </c>
      <c r="P91" s="11">
        <f>(L91-$D91)^2</f>
        <v>6.9224543891560426</v>
      </c>
      <c r="Q91" s="11">
        <f>(M91-$D91)^2</f>
        <v>16.459474087012254</v>
      </c>
    </row>
    <row r="92" spans="1:17" x14ac:dyDescent="0.25">
      <c r="A92" s="3">
        <v>46184</v>
      </c>
      <c r="B92" s="4">
        <v>20</v>
      </c>
      <c r="C92" s="5">
        <v>25.078551048933388</v>
      </c>
      <c r="D92" s="6">
        <v>25.11</v>
      </c>
      <c r="E92">
        <v>23.077033996582031</v>
      </c>
      <c r="F92">
        <f t="shared" si="4"/>
        <v>9.8903652319011753E-4</v>
      </c>
      <c r="G92">
        <f t="shared" si="4"/>
        <v>4.1329507710532258</v>
      </c>
      <c r="K92">
        <v>23.077033996582031</v>
      </c>
      <c r="L92" s="15">
        <v>23.292354583740231</v>
      </c>
      <c r="M92" s="15">
        <v>22.423643112182621</v>
      </c>
      <c r="O92" s="11">
        <f t="shared" si="3"/>
        <v>4.1329507710532258</v>
      </c>
      <c r="P92" s="11">
        <f>(L92-$D92)^2</f>
        <v>3.3038348592501476</v>
      </c>
      <c r="Q92" s="11">
        <f>(M92-$D92)^2</f>
        <v>7.216513328723873</v>
      </c>
    </row>
    <row r="93" spans="1:17" x14ac:dyDescent="0.25">
      <c r="A93" s="3">
        <v>46184</v>
      </c>
      <c r="B93" s="4">
        <v>21</v>
      </c>
      <c r="C93" s="5">
        <v>26.707433125477742</v>
      </c>
      <c r="D93" s="6">
        <v>27.5</v>
      </c>
      <c r="E93">
        <v>26.3913459777832</v>
      </c>
      <c r="F93">
        <f t="shared" si="4"/>
        <v>0.62816225058998076</v>
      </c>
      <c r="G93">
        <f t="shared" si="4"/>
        <v>1.2291137409774897</v>
      </c>
      <c r="K93">
        <v>26.3913459777832</v>
      </c>
      <c r="L93" s="15">
        <v>25.802944183349609</v>
      </c>
      <c r="M93" s="15">
        <v>24.96623611450195</v>
      </c>
      <c r="O93" s="11">
        <f t="shared" si="3"/>
        <v>1.2291137409774897</v>
      </c>
      <c r="P93" s="11">
        <f>(L93-$D93)^2</f>
        <v>2.8799984448269242</v>
      </c>
      <c r="Q93" s="11">
        <f>(M93-$D93)^2</f>
        <v>6.4199594274541774</v>
      </c>
    </row>
    <row r="94" spans="1:17" x14ac:dyDescent="0.25">
      <c r="A94" s="3">
        <v>46184</v>
      </c>
      <c r="B94" s="4">
        <v>22</v>
      </c>
      <c r="C94" s="5">
        <v>24.509457285452356</v>
      </c>
      <c r="D94" s="6">
        <v>24.75</v>
      </c>
      <c r="E94">
        <v>24.974025726318359</v>
      </c>
      <c r="F94">
        <f t="shared" si="4"/>
        <v>5.7860797521949225E-2</v>
      </c>
      <c r="G94">
        <f t="shared" si="4"/>
        <v>5.0187526052468456E-2</v>
      </c>
      <c r="K94">
        <v>24.974025726318359</v>
      </c>
      <c r="L94" s="15">
        <v>24.010738372802731</v>
      </c>
      <c r="M94" s="15">
        <v>23.725273132324219</v>
      </c>
      <c r="O94" s="11">
        <f t="shared" si="3"/>
        <v>5.0187526052468456E-2</v>
      </c>
      <c r="P94" s="11">
        <f>(L94-$D94)^2</f>
        <v>0.54650775344635416</v>
      </c>
      <c r="Q94" s="11">
        <f>(M94-$D94)^2</f>
        <v>1.0500651533366181</v>
      </c>
    </row>
    <row r="95" spans="1:17" x14ac:dyDescent="0.25">
      <c r="A95" s="3">
        <v>46184</v>
      </c>
      <c r="B95" s="4">
        <v>23</v>
      </c>
      <c r="C95" s="5">
        <v>15.446287858033108</v>
      </c>
      <c r="D95" s="6">
        <v>15.92</v>
      </c>
      <c r="E95">
        <v>15.88337516784668</v>
      </c>
      <c r="F95">
        <f t="shared" si="4"/>
        <v>0.22440319344686119</v>
      </c>
      <c r="G95">
        <f t="shared" si="4"/>
        <v>1.3413783302588802E-3</v>
      </c>
      <c r="K95">
        <v>15.88337516784668</v>
      </c>
      <c r="L95" s="15">
        <v>15.198104858398439</v>
      </c>
      <c r="M95" s="15">
        <v>15.95969390869141</v>
      </c>
      <c r="O95" s="11">
        <f t="shared" si="3"/>
        <v>1.3413783302588802E-3</v>
      </c>
      <c r="P95" s="11">
        <f>(L95-$D95)^2</f>
        <v>0.52113259546793733</v>
      </c>
      <c r="Q95" s="11">
        <f>(M95-$D95)^2</f>
        <v>1.5756063872019842E-3</v>
      </c>
    </row>
    <row r="96" spans="1:17" x14ac:dyDescent="0.25">
      <c r="A96" s="3">
        <v>46184</v>
      </c>
      <c r="B96" s="4">
        <v>24</v>
      </c>
      <c r="C96" s="5">
        <v>8.4860404848001334</v>
      </c>
      <c r="D96" s="6">
        <v>9.32</v>
      </c>
      <c r="E96">
        <v>9.1606550216674805</v>
      </c>
      <c r="F96">
        <f t="shared" si="4"/>
        <v>0.69548847299239702</v>
      </c>
      <c r="G96">
        <f t="shared" si="4"/>
        <v>2.5390822119791209E-2</v>
      </c>
      <c r="K96">
        <v>9.1606550216674805</v>
      </c>
      <c r="L96" s="15">
        <v>8.8669166564941406</v>
      </c>
      <c r="M96" s="15">
        <v>9.3053388595581055</v>
      </c>
      <c r="O96" s="11">
        <f t="shared" si="3"/>
        <v>2.5390822119791209E-2</v>
      </c>
      <c r="P96" s="11">
        <f>(L96-$D96)^2</f>
        <v>0.20528451616244883</v>
      </c>
      <c r="Q96" s="11">
        <f>(M96-$D96)^2</f>
        <v>2.149490390569637E-4</v>
      </c>
    </row>
    <row r="97" spans="1:17" x14ac:dyDescent="0.25">
      <c r="A97" s="3">
        <v>46184</v>
      </c>
      <c r="B97" s="4">
        <v>25</v>
      </c>
      <c r="C97" s="5">
        <v>4.9937017967165565</v>
      </c>
      <c r="D97" s="6">
        <v>5.48</v>
      </c>
      <c r="E97">
        <v>5.3544192314147949</v>
      </c>
      <c r="F97">
        <f t="shared" si="4"/>
        <v>0.23648594251670579</v>
      </c>
      <c r="G97">
        <f t="shared" si="4"/>
        <v>1.5770529438450937E-2</v>
      </c>
      <c r="K97">
        <v>5.3544192314147949</v>
      </c>
      <c r="L97" s="15">
        <v>5.0838799476623544</v>
      </c>
      <c r="M97" s="15">
        <v>5.2746753692626953</v>
      </c>
      <c r="O97" s="11">
        <f t="shared" si="3"/>
        <v>1.5770529438450937E-2</v>
      </c>
      <c r="P97" s="11">
        <f>(L97-$D97)^2</f>
        <v>0.15691109586397942</v>
      </c>
      <c r="Q97" s="11">
        <f>(M97-$D97)^2</f>
        <v>4.21582039874107E-2</v>
      </c>
    </row>
    <row r="98" spans="1:17" x14ac:dyDescent="0.25">
      <c r="A98" s="3">
        <v>46184</v>
      </c>
      <c r="B98" s="4">
        <v>26</v>
      </c>
      <c r="C98" s="5">
        <v>3.2907801150735612</v>
      </c>
      <c r="D98" s="6">
        <v>3.41</v>
      </c>
      <c r="E98">
        <v>3.335209846496582</v>
      </c>
      <c r="F98">
        <f t="shared" si="4"/>
        <v>1.4213380961873353E-2</v>
      </c>
      <c r="G98">
        <f t="shared" si="4"/>
        <v>5.593567061064844E-3</v>
      </c>
      <c r="K98">
        <v>3.335209846496582</v>
      </c>
      <c r="L98" s="15">
        <v>3.110906600952148</v>
      </c>
      <c r="M98" s="15">
        <v>3.3752503395080571</v>
      </c>
      <c r="O98" s="11">
        <f t="shared" si="3"/>
        <v>5.593567061064844E-3</v>
      </c>
      <c r="P98" s="11">
        <f>(L98-$D98)^2</f>
        <v>8.9456861353997719E-2</v>
      </c>
      <c r="Q98" s="11">
        <f>(M98-$D98)^2</f>
        <v>1.2075389043053081E-3</v>
      </c>
    </row>
    <row r="99" spans="1:17" x14ac:dyDescent="0.25">
      <c r="A99" s="3">
        <v>46184</v>
      </c>
      <c r="B99" s="4">
        <v>27</v>
      </c>
      <c r="C99" s="5">
        <v>2.3271703859849766</v>
      </c>
      <c r="D99" s="6">
        <v>2.29</v>
      </c>
      <c r="E99">
        <v>2.2469830513000488</v>
      </c>
      <c r="F99">
        <f t="shared" si="4"/>
        <v>1.3816375942721428E-3</v>
      </c>
      <c r="G99">
        <f t="shared" si="4"/>
        <v>1.8504578754542339E-3</v>
      </c>
      <c r="K99">
        <v>2.2469830513000488</v>
      </c>
      <c r="L99" s="15">
        <v>2.0911152362823491</v>
      </c>
      <c r="M99" s="15">
        <v>2.2817213535308838</v>
      </c>
      <c r="O99" s="11">
        <f t="shared" si="3"/>
        <v>1.8504578754542339E-3</v>
      </c>
      <c r="P99" s="11">
        <f>(L99-$D99)^2</f>
        <v>3.9555149239025852E-2</v>
      </c>
      <c r="Q99" s="11">
        <f>(M99-$D99)^2</f>
        <v>6.8535987360610894E-5</v>
      </c>
    </row>
    <row r="100" spans="1:17" x14ac:dyDescent="0.25">
      <c r="A100" s="3">
        <v>46184</v>
      </c>
      <c r="B100" s="4">
        <v>28</v>
      </c>
      <c r="C100" s="5">
        <v>2.0319899786172004</v>
      </c>
      <c r="D100" s="6">
        <v>2.14</v>
      </c>
      <c r="E100">
        <v>1.815304040908813</v>
      </c>
      <c r="F100">
        <f t="shared" si="4"/>
        <v>1.1666164719112847E-2</v>
      </c>
      <c r="G100">
        <f t="shared" si="4"/>
        <v>0.10542746585014584</v>
      </c>
      <c r="K100">
        <v>1.815304040908813</v>
      </c>
      <c r="L100" s="15">
        <v>1.6605179309844971</v>
      </c>
      <c r="M100" s="15">
        <v>2.042864322662354</v>
      </c>
      <c r="O100" s="11">
        <f t="shared" si="3"/>
        <v>0.10542746585014584</v>
      </c>
      <c r="P100" s="11">
        <f>(L100-$D100)^2</f>
        <v>0.22990305450738763</v>
      </c>
      <c r="Q100" s="11">
        <f>(M100-$D100)^2</f>
        <v>9.435339811843307E-3</v>
      </c>
    </row>
    <row r="101" spans="1:17" x14ac:dyDescent="0.25">
      <c r="A101" s="7">
        <v>46184</v>
      </c>
      <c r="B101" s="4">
        <v>29</v>
      </c>
      <c r="C101" s="5">
        <v>2.5355125815146837</v>
      </c>
      <c r="D101" s="6">
        <v>2.76</v>
      </c>
      <c r="E101">
        <v>2.262085914611816</v>
      </c>
      <c r="F101">
        <f t="shared" si="4"/>
        <v>5.039460105820142E-2</v>
      </c>
      <c r="G101">
        <f t="shared" si="4"/>
        <v>0.24791843642795161</v>
      </c>
      <c r="K101">
        <v>2.262085914611816</v>
      </c>
      <c r="L101" s="15">
        <v>2.0480983257293701</v>
      </c>
      <c r="M101" s="15">
        <v>2.593831062316895</v>
      </c>
      <c r="O101" s="11">
        <f t="shared" si="3"/>
        <v>0.24791843642795161</v>
      </c>
      <c r="P101" s="11">
        <f>(L101-$D101)^2</f>
        <v>0.50680399382932573</v>
      </c>
      <c r="Q101" s="11">
        <f>(M101-$D101)^2</f>
        <v>2.7612115850731572E-2</v>
      </c>
    </row>
    <row r="102" spans="1:17" x14ac:dyDescent="0.25">
      <c r="A102" s="3">
        <v>46185</v>
      </c>
      <c r="B102" s="4">
        <v>6</v>
      </c>
      <c r="C102" s="5">
        <v>3.9285107441603064</v>
      </c>
      <c r="D102" s="6">
        <v>3.58</v>
      </c>
      <c r="E102">
        <v>3.59528636932373</v>
      </c>
      <c r="F102">
        <f t="shared" si="4"/>
        <v>0.12145973879517051</v>
      </c>
      <c r="G102">
        <f t="shared" si="4"/>
        <v>2.3367308710147216E-4</v>
      </c>
      <c r="K102">
        <v>3.59528636932373</v>
      </c>
      <c r="L102" s="15">
        <v>3.4488458633422852</v>
      </c>
      <c r="M102" s="15">
        <v>3.7806892395019531</v>
      </c>
      <c r="O102" s="11">
        <f t="shared" si="3"/>
        <v>2.3367308710147216E-4</v>
      </c>
      <c r="P102" s="11">
        <f>(L102-$D102)^2</f>
        <v>1.7201407562430559E-2</v>
      </c>
      <c r="Q102" s="11">
        <f>(M102-$D102)^2</f>
        <v>4.0276170851872274E-2</v>
      </c>
    </row>
    <row r="103" spans="1:17" x14ac:dyDescent="0.25">
      <c r="A103" s="3">
        <v>46185</v>
      </c>
      <c r="B103" s="4">
        <v>7</v>
      </c>
      <c r="C103" s="5">
        <v>5.9689020029386874</v>
      </c>
      <c r="D103" s="6">
        <v>5.82</v>
      </c>
      <c r="E103">
        <v>5.4394426345825204</v>
      </c>
      <c r="F103">
        <f t="shared" si="4"/>
        <v>2.21718064791528E-2</v>
      </c>
      <c r="G103">
        <f t="shared" si="4"/>
        <v>0.14482390837349329</v>
      </c>
      <c r="K103">
        <v>5.4394426345825204</v>
      </c>
      <c r="L103" s="15">
        <v>5.4513916969299316</v>
      </c>
      <c r="M103" s="15">
        <v>5.6693239212036133</v>
      </c>
      <c r="O103" s="11">
        <f t="shared" si="3"/>
        <v>0.14482390837349329</v>
      </c>
      <c r="P103" s="11">
        <f>(L103-$D103)^2</f>
        <v>0.13587208109219559</v>
      </c>
      <c r="Q103" s="11">
        <f>(M103-$D103)^2</f>
        <v>2.2703280721455023E-2</v>
      </c>
    </row>
    <row r="104" spans="1:17" x14ac:dyDescent="0.25">
      <c r="A104" s="3">
        <v>46185</v>
      </c>
      <c r="B104" s="4">
        <v>8</v>
      </c>
      <c r="C104" s="5">
        <v>7.6931336260746761</v>
      </c>
      <c r="D104" s="6">
        <v>7.55</v>
      </c>
      <c r="E104">
        <v>7.2051019668579102</v>
      </c>
      <c r="F104">
        <f t="shared" si="4"/>
        <v>2.048723491328525E-2</v>
      </c>
      <c r="G104">
        <f t="shared" si="4"/>
        <v>0.11895465326528198</v>
      </c>
      <c r="K104">
        <v>7.2051019668579102</v>
      </c>
      <c r="L104" s="15">
        <v>7.2153921127319336</v>
      </c>
      <c r="M104" s="15">
        <v>7.2653961181640616</v>
      </c>
      <c r="O104" s="11">
        <f t="shared" si="3"/>
        <v>0.11895465326528198</v>
      </c>
      <c r="P104" s="11">
        <f>(L104-$D104)^2</f>
        <v>0.11196243822199892</v>
      </c>
      <c r="Q104" s="11">
        <f>(M104-$D104)^2</f>
        <v>8.099936955608468E-2</v>
      </c>
    </row>
    <row r="105" spans="1:17" x14ac:dyDescent="0.25">
      <c r="A105" s="3">
        <v>46185</v>
      </c>
      <c r="B105" s="4">
        <v>9</v>
      </c>
      <c r="C105" s="5">
        <v>9.1817606645027166</v>
      </c>
      <c r="D105" s="6">
        <v>9.01</v>
      </c>
      <c r="E105">
        <v>8.5479564666748047</v>
      </c>
      <c r="F105">
        <f t="shared" si="4"/>
        <v>2.9501725870414826E-2</v>
      </c>
      <c r="G105">
        <f t="shared" si="4"/>
        <v>0.21348422668763067</v>
      </c>
      <c r="K105">
        <v>8.5479564666748047</v>
      </c>
      <c r="L105" s="15">
        <v>8.6723394393920898</v>
      </c>
      <c r="M105" s="15">
        <v>8.4392309188842773</v>
      </c>
      <c r="O105" s="11">
        <f t="shared" si="3"/>
        <v>0.21348422668763067</v>
      </c>
      <c r="P105" s="11">
        <f>(L105-$D105)^2</f>
        <v>0.11401465419004803</v>
      </c>
      <c r="Q105" s="11">
        <f>(M105-$D105)^2</f>
        <v>0.32577734395768615</v>
      </c>
    </row>
    <row r="106" spans="1:17" x14ac:dyDescent="0.25">
      <c r="A106" s="3">
        <v>46185</v>
      </c>
      <c r="B106" s="4">
        <v>10</v>
      </c>
      <c r="C106" s="5">
        <v>9.4072264238344339</v>
      </c>
      <c r="D106" s="6">
        <v>9.1300000000000008</v>
      </c>
      <c r="E106">
        <v>8.9751262664794922</v>
      </c>
      <c r="F106">
        <f t="shared" si="4"/>
        <v>7.6854490072028728E-2</v>
      </c>
      <c r="G106">
        <f t="shared" si="4"/>
        <v>2.3985873334581506E-2</v>
      </c>
      <c r="K106">
        <v>8.9751262664794922</v>
      </c>
      <c r="L106" s="15">
        <v>9.1123161315917969</v>
      </c>
      <c r="M106" s="15">
        <v>8.7841167449951172</v>
      </c>
      <c r="O106" s="11">
        <f t="shared" si="3"/>
        <v>2.3985873334581506E-2</v>
      </c>
      <c r="P106" s="11">
        <f>(L106-$D106)^2</f>
        <v>3.1271920187867218E-4</v>
      </c>
      <c r="Q106" s="11">
        <f>(M106-$D106)^2</f>
        <v>0.11963522609277333</v>
      </c>
    </row>
    <row r="107" spans="1:17" x14ac:dyDescent="0.25">
      <c r="A107" s="3">
        <v>46185</v>
      </c>
      <c r="B107" s="4">
        <v>11</v>
      </c>
      <c r="C107" s="5">
        <v>9.2541339485083931</v>
      </c>
      <c r="D107" s="6">
        <v>8.92</v>
      </c>
      <c r="E107">
        <v>8.9830818176269531</v>
      </c>
      <c r="F107">
        <f t="shared" si="4"/>
        <v>0.11164549554580955</v>
      </c>
      <c r="G107">
        <f t="shared" si="4"/>
        <v>3.9793157151201833E-3</v>
      </c>
      <c r="K107">
        <v>8.9830818176269531</v>
      </c>
      <c r="L107" s="15">
        <v>9.1022672653198242</v>
      </c>
      <c r="M107" s="15">
        <v>8.8656301498413086</v>
      </c>
      <c r="O107" s="11">
        <f t="shared" si="3"/>
        <v>3.9793157151201833E-3</v>
      </c>
      <c r="P107" s="11">
        <f>(L107-$D107)^2</f>
        <v>3.3221356007167226E-2</v>
      </c>
      <c r="Q107" s="11">
        <f>(M107-$D107)^2</f>
        <v>2.956080606278548E-3</v>
      </c>
    </row>
    <row r="108" spans="1:17" x14ac:dyDescent="0.25">
      <c r="A108" s="3">
        <v>46185</v>
      </c>
      <c r="B108" s="4">
        <v>12</v>
      </c>
      <c r="C108" s="5">
        <v>9.1206373100240885</v>
      </c>
      <c r="D108" s="6">
        <v>8.92</v>
      </c>
      <c r="E108">
        <v>8.9996423721313477</v>
      </c>
      <c r="F108">
        <f t="shared" si="4"/>
        <v>4.0255330173702232E-2</v>
      </c>
      <c r="G108">
        <f t="shared" si="4"/>
        <v>6.3429074387080734E-3</v>
      </c>
      <c r="K108">
        <v>8.9996423721313477</v>
      </c>
      <c r="L108" s="15">
        <v>9.1183958053588867</v>
      </c>
      <c r="M108" s="15">
        <v>8.8497657775878906</v>
      </c>
      <c r="O108" s="11">
        <f t="shared" si="3"/>
        <v>6.3429074387080734E-3</v>
      </c>
      <c r="P108" s="11">
        <f>(L108-$D108)^2</f>
        <v>3.9360895584001292E-2</v>
      </c>
      <c r="Q108" s="11">
        <f>(M108-$D108)^2</f>
        <v>4.9328459978336368E-3</v>
      </c>
    </row>
    <row r="109" spans="1:17" x14ac:dyDescent="0.25">
      <c r="A109" s="3">
        <v>46185</v>
      </c>
      <c r="B109" s="4">
        <v>13</v>
      </c>
      <c r="C109" s="5">
        <v>9.6962650172499938</v>
      </c>
      <c r="D109" s="6">
        <v>8.91</v>
      </c>
      <c r="E109">
        <v>9.12005615234375</v>
      </c>
      <c r="F109">
        <f t="shared" si="4"/>
        <v>0.61821267735113283</v>
      </c>
      <c r="G109">
        <f t="shared" si="4"/>
        <v>4.4123587137460646E-2</v>
      </c>
      <c r="K109">
        <v>9.12005615234375</v>
      </c>
      <c r="L109" s="15">
        <v>9.3709516525268555</v>
      </c>
      <c r="M109" s="15">
        <v>9.1189241409301758</v>
      </c>
      <c r="O109" s="11">
        <f t="shared" si="3"/>
        <v>4.4123587137460646E-2</v>
      </c>
      <c r="P109" s="11">
        <f>(L109-$D109)^2</f>
        <v>0.21247642596723876</v>
      </c>
      <c r="Q109" s="11">
        <f>(M109-$D109)^2</f>
        <v>4.3649296663411892E-2</v>
      </c>
    </row>
    <row r="110" spans="1:17" x14ac:dyDescent="0.25">
      <c r="A110" s="3">
        <v>46185</v>
      </c>
      <c r="B110" s="4">
        <v>14</v>
      </c>
      <c r="C110" s="5">
        <v>10.462972335576449</v>
      </c>
      <c r="D110" s="6">
        <v>10.37</v>
      </c>
      <c r="E110">
        <v>10.12115573883057</v>
      </c>
      <c r="F110">
        <f t="shared" si="4"/>
        <v>8.6438551825399924E-3</v>
      </c>
      <c r="G110">
        <f t="shared" si="4"/>
        <v>6.1923466316959122E-2</v>
      </c>
      <c r="K110">
        <v>10.12115573883057</v>
      </c>
      <c r="L110" s="15">
        <v>10.566604614257811</v>
      </c>
      <c r="M110" s="15">
        <v>10.59425067901611</v>
      </c>
      <c r="O110" s="11">
        <f t="shared" si="3"/>
        <v>6.1923466316959122E-2</v>
      </c>
      <c r="P110" s="11">
        <f>(L110-$D110)^2</f>
        <v>3.8653374347462861E-2</v>
      </c>
      <c r="Q110" s="11">
        <f>(M110-$D110)^2</f>
        <v>5.0288367039186627E-2</v>
      </c>
    </row>
    <row r="111" spans="1:17" x14ac:dyDescent="0.25">
      <c r="A111" s="3">
        <v>46185</v>
      </c>
      <c r="B111" s="4">
        <v>15</v>
      </c>
      <c r="C111" s="5">
        <v>11.850848742510539</v>
      </c>
      <c r="D111" s="6">
        <v>12.03</v>
      </c>
      <c r="E111">
        <v>11.8502140045166</v>
      </c>
      <c r="F111">
        <f t="shared" si="4"/>
        <v>3.2095173060054813E-2</v>
      </c>
      <c r="G111">
        <f t="shared" si="4"/>
        <v>3.2323004171956972E-2</v>
      </c>
      <c r="K111">
        <v>11.8502140045166</v>
      </c>
      <c r="L111" s="15">
        <v>12.25091552734375</v>
      </c>
      <c r="M111" s="15">
        <v>12.717738151550289</v>
      </c>
      <c r="O111" s="11">
        <f t="shared" si="3"/>
        <v>3.2323004171956972E-2</v>
      </c>
      <c r="P111" s="11">
        <f>(L111-$D111)^2</f>
        <v>4.8803670221567438E-2</v>
      </c>
      <c r="Q111" s="11">
        <f>(M111-$D111)^2</f>
        <v>0.47298376509780971</v>
      </c>
    </row>
    <row r="112" spans="1:17" x14ac:dyDescent="0.25">
      <c r="A112" s="3">
        <v>46185</v>
      </c>
      <c r="B112" s="4">
        <v>16</v>
      </c>
      <c r="C112" s="5">
        <v>13.619999276180129</v>
      </c>
      <c r="D112" s="6">
        <v>13.67</v>
      </c>
      <c r="E112">
        <v>13.633073806762701</v>
      </c>
      <c r="F112">
        <f t="shared" si="4"/>
        <v>2.5000723825109681E-3</v>
      </c>
      <c r="G112">
        <f t="shared" si="4"/>
        <v>1.3635437469983677E-3</v>
      </c>
      <c r="K112">
        <v>13.633073806762701</v>
      </c>
      <c r="L112" s="15">
        <v>14.09035491943359</v>
      </c>
      <c r="M112" s="15">
        <v>14.6173849105835</v>
      </c>
      <c r="O112" s="11">
        <f t="shared" si="3"/>
        <v>1.3635437469983677E-3</v>
      </c>
      <c r="P112" s="11">
        <f>(L112-$D112)^2</f>
        <v>0.17669825829202015</v>
      </c>
      <c r="Q112" s="11">
        <f>(M112-$D112)^2</f>
        <v>0.89753816880130577</v>
      </c>
    </row>
    <row r="113" spans="1:17" x14ac:dyDescent="0.25">
      <c r="A113" s="3">
        <v>46185</v>
      </c>
      <c r="B113" s="4">
        <v>17</v>
      </c>
      <c r="C113" s="5">
        <v>15.499334725678807</v>
      </c>
      <c r="D113" s="6">
        <v>15.04</v>
      </c>
      <c r="E113">
        <v>15.3407039642334</v>
      </c>
      <c r="F113">
        <f t="shared" si="4"/>
        <v>0.21098839021442564</v>
      </c>
      <c r="G113">
        <f t="shared" si="4"/>
        <v>9.0422874105682546E-2</v>
      </c>
      <c r="K113">
        <v>15.3407039642334</v>
      </c>
      <c r="L113" s="15">
        <v>15.6042594909668</v>
      </c>
      <c r="M113" s="15">
        <v>15.83737754821777</v>
      </c>
      <c r="O113" s="11">
        <f t="shared" si="3"/>
        <v>9.0422874105682546E-2</v>
      </c>
      <c r="P113" s="11">
        <f>(L113-$D113)^2</f>
        <v>0.31838877314611369</v>
      </c>
      <c r="Q113" s="11">
        <f>(M113-$D113)^2</f>
        <v>0.63581095440178326</v>
      </c>
    </row>
    <row r="114" spans="1:17" x14ac:dyDescent="0.25">
      <c r="A114" s="3">
        <v>46185</v>
      </c>
      <c r="B114" s="4">
        <v>18</v>
      </c>
      <c r="C114" s="5">
        <v>17.466163313962795</v>
      </c>
      <c r="D114" s="6">
        <v>17.29</v>
      </c>
      <c r="E114">
        <v>17.03029823303223</v>
      </c>
      <c r="F114">
        <f t="shared" si="4"/>
        <v>3.1033513186354656E-2</v>
      </c>
      <c r="G114">
        <f t="shared" si="4"/>
        <v>6.7445007766181411E-2</v>
      </c>
      <c r="K114">
        <v>17.03029823303223</v>
      </c>
      <c r="L114" s="15">
        <v>17.08383750915527</v>
      </c>
      <c r="M114" s="15">
        <v>17.032121658325199</v>
      </c>
      <c r="O114" s="11">
        <f t="shared" si="3"/>
        <v>6.7445007766181411E-2</v>
      </c>
      <c r="P114" s="11">
        <f>(L114-$D114)^2</f>
        <v>4.2502972631303079E-2</v>
      </c>
      <c r="Q114" s="11">
        <f>(M114-$D114)^2</f>
        <v>6.6501239104945042E-2</v>
      </c>
    </row>
    <row r="115" spans="1:17" x14ac:dyDescent="0.25">
      <c r="A115" s="3">
        <v>46185</v>
      </c>
      <c r="B115" s="4">
        <v>19</v>
      </c>
      <c r="C115" s="5">
        <v>20.387978014056252</v>
      </c>
      <c r="D115" s="6">
        <v>19.940000000000001</v>
      </c>
      <c r="E115">
        <v>19.879659652709961</v>
      </c>
      <c r="F115">
        <f t="shared" si="4"/>
        <v>0.20068430107778207</v>
      </c>
      <c r="G115">
        <f t="shared" si="4"/>
        <v>3.6409575110826786E-3</v>
      </c>
      <c r="K115">
        <v>19.879659652709961</v>
      </c>
      <c r="L115" s="15">
        <v>20.2758903503418</v>
      </c>
      <c r="M115" s="15">
        <v>19.55226898193359</v>
      </c>
      <c r="O115" s="11">
        <f t="shared" si="3"/>
        <v>3.6409575110826786E-3</v>
      </c>
      <c r="P115" s="11">
        <f>(L115-$D115)^2</f>
        <v>0.11282232745273657</v>
      </c>
      <c r="Q115" s="11">
        <f>(M115-$D115)^2</f>
        <v>0.15033534237081558</v>
      </c>
    </row>
    <row r="116" spans="1:17" x14ac:dyDescent="0.25">
      <c r="A116" s="3">
        <v>46185</v>
      </c>
      <c r="B116" s="4">
        <v>20</v>
      </c>
      <c r="C116" s="5">
        <v>22.883804146871793</v>
      </c>
      <c r="D116" s="6">
        <v>21.73</v>
      </c>
      <c r="E116">
        <v>22.461660385131839</v>
      </c>
      <c r="F116">
        <f t="shared" si="4"/>
        <v>1.3312640093385439</v>
      </c>
      <c r="G116">
        <f t="shared" si="4"/>
        <v>0.53532691917127107</v>
      </c>
      <c r="K116">
        <v>22.461660385131839</v>
      </c>
      <c r="L116" s="15">
        <v>22.466342926025391</v>
      </c>
      <c r="M116" s="15">
        <v>21.96251106262207</v>
      </c>
      <c r="O116" s="11">
        <f t="shared" si="3"/>
        <v>0.53532691917127107</v>
      </c>
      <c r="P116" s="11">
        <f>(L116-$D116)^2</f>
        <v>0.54220090470763327</v>
      </c>
      <c r="Q116" s="11">
        <f>(M116-$D116)^2</f>
        <v>5.4061394241644106E-2</v>
      </c>
    </row>
    <row r="117" spans="1:17" x14ac:dyDescent="0.25">
      <c r="A117" s="3">
        <v>46185</v>
      </c>
      <c r="B117" s="4">
        <v>21</v>
      </c>
      <c r="C117" s="5">
        <v>25.59697762095939</v>
      </c>
      <c r="D117" s="6">
        <v>25.32</v>
      </c>
      <c r="E117">
        <v>25.3952751159668</v>
      </c>
      <c r="F117">
        <f t="shared" si="4"/>
        <v>7.6716602512323109E-2</v>
      </c>
      <c r="G117">
        <f t="shared" si="4"/>
        <v>5.6663430838152099E-3</v>
      </c>
      <c r="K117">
        <v>25.3952751159668</v>
      </c>
      <c r="L117" s="15">
        <v>25.32083892822266</v>
      </c>
      <c r="M117" s="15">
        <v>23.99643707275391</v>
      </c>
      <c r="O117" s="11">
        <f t="shared" si="3"/>
        <v>5.6663430838152099E-3</v>
      </c>
      <c r="P117" s="11">
        <f>(L117-$D117)^2</f>
        <v>7.038005627746586E-7</v>
      </c>
      <c r="Q117" s="11">
        <f>(M117-$D117)^2</f>
        <v>1.7518188223802398</v>
      </c>
    </row>
    <row r="118" spans="1:17" x14ac:dyDescent="0.25">
      <c r="A118" s="3">
        <v>46185</v>
      </c>
      <c r="B118" s="4">
        <v>22</v>
      </c>
      <c r="C118" s="5">
        <v>23.625267616826005</v>
      </c>
      <c r="D118" s="6">
        <v>23.59</v>
      </c>
      <c r="E118">
        <v>24.256673812866211</v>
      </c>
      <c r="F118">
        <f t="shared" si="4"/>
        <v>1.2438047965858867E-3</v>
      </c>
      <c r="G118">
        <f t="shared" si="4"/>
        <v>0.44445397276157184</v>
      </c>
      <c r="K118">
        <v>24.256673812866211</v>
      </c>
      <c r="L118" s="15">
        <v>24.001735687255859</v>
      </c>
      <c r="M118" s="15">
        <v>23.454303741455082</v>
      </c>
      <c r="O118" s="11">
        <f t="shared" si="3"/>
        <v>0.44445397276157184</v>
      </c>
      <c r="P118" s="11">
        <f>(L118-$D118)^2</f>
        <v>0.16952627616005495</v>
      </c>
      <c r="Q118" s="11">
        <f>(M118-$D118)^2</f>
        <v>1.8413474583089281E-2</v>
      </c>
    </row>
    <row r="119" spans="1:17" x14ac:dyDescent="0.25">
      <c r="A119" s="3">
        <v>46185</v>
      </c>
      <c r="B119" s="4">
        <v>23</v>
      </c>
      <c r="C119" s="5">
        <v>16.225332703061248</v>
      </c>
      <c r="D119" s="6">
        <v>16.05</v>
      </c>
      <c r="E119">
        <v>17.6209602355957</v>
      </c>
      <c r="F119">
        <f t="shared" si="4"/>
        <v>3.0741556762763585E-2</v>
      </c>
      <c r="G119">
        <f t="shared" si="4"/>
        <v>2.4679160618228937</v>
      </c>
      <c r="K119">
        <v>17.6209602355957</v>
      </c>
      <c r="L119" s="15">
        <v>17.405563354492191</v>
      </c>
      <c r="M119" s="15">
        <v>17.023117065429691</v>
      </c>
      <c r="O119" s="11">
        <f t="shared" si="3"/>
        <v>2.4679160618228937</v>
      </c>
      <c r="P119" s="11">
        <f>(L119-$D119)^2</f>
        <v>1.8375520080421197</v>
      </c>
      <c r="Q119" s="11">
        <f>(M119-$D119)^2</f>
        <v>0.94695682303049222</v>
      </c>
    </row>
    <row r="120" spans="1:17" x14ac:dyDescent="0.25">
      <c r="A120" s="3">
        <v>46185</v>
      </c>
      <c r="B120" s="4">
        <v>24</v>
      </c>
      <c r="C120" s="5">
        <v>10.27590292057557</v>
      </c>
      <c r="D120" s="6">
        <v>10.06</v>
      </c>
      <c r="E120">
        <v>11.079141616821291</v>
      </c>
      <c r="F120">
        <f t="shared" si="4"/>
        <v>4.6614071113060616E-2</v>
      </c>
      <c r="G120">
        <f t="shared" si="4"/>
        <v>1.0386496351371137</v>
      </c>
      <c r="K120">
        <v>11.079141616821291</v>
      </c>
      <c r="L120" s="15">
        <v>10.769913673400881</v>
      </c>
      <c r="M120" s="15">
        <v>10.61096668243408</v>
      </c>
      <c r="O120" s="11">
        <f t="shared" si="3"/>
        <v>1.0386496351371137</v>
      </c>
      <c r="P120" s="11">
        <f>(L120-$D120)^2</f>
        <v>0.50397742368153153</v>
      </c>
      <c r="Q120" s="11">
        <f>(M120-$D120)^2</f>
        <v>0.30356428515241607</v>
      </c>
    </row>
    <row r="121" spans="1:17" x14ac:dyDescent="0.25">
      <c r="A121" s="3">
        <v>46185</v>
      </c>
      <c r="B121" s="4">
        <v>25</v>
      </c>
      <c r="C121" s="5">
        <v>6.3040124200437191</v>
      </c>
      <c r="D121" s="6">
        <v>6.15</v>
      </c>
      <c r="E121">
        <v>6.6754159927368164</v>
      </c>
      <c r="F121">
        <f t="shared" si="4"/>
        <v>2.3719825527722855E-2</v>
      </c>
      <c r="G121">
        <f t="shared" si="4"/>
        <v>0.27606196542361394</v>
      </c>
      <c r="K121">
        <v>6.6754159927368164</v>
      </c>
      <c r="L121" s="15">
        <v>6.4360251426696777</v>
      </c>
      <c r="M121" s="15">
        <v>6.1627764701843262</v>
      </c>
      <c r="O121" s="11">
        <f t="shared" si="3"/>
        <v>0.27606196542361394</v>
      </c>
      <c r="P121" s="11">
        <f>(L121-$D121)^2</f>
        <v>8.1810382239209306E-2</v>
      </c>
      <c r="Q121" s="11">
        <f>(M121-$D121)^2</f>
        <v>1.6323819037096656E-4</v>
      </c>
    </row>
    <row r="122" spans="1:17" x14ac:dyDescent="0.25">
      <c r="A122" s="3">
        <v>46185</v>
      </c>
      <c r="B122" s="4">
        <v>26</v>
      </c>
      <c r="C122" s="5">
        <v>4.0182727189607474</v>
      </c>
      <c r="D122" s="6">
        <v>3.68</v>
      </c>
      <c r="E122">
        <v>4.0864524841308594</v>
      </c>
      <c r="F122">
        <f t="shared" si="4"/>
        <v>0.11442843239309672</v>
      </c>
      <c r="G122">
        <f t="shared" si="4"/>
        <v>0.16520362185614637</v>
      </c>
      <c r="K122">
        <v>4.0864524841308594</v>
      </c>
      <c r="L122" s="15">
        <v>3.9235410690307622</v>
      </c>
      <c r="M122" s="15">
        <v>3.7870182991027832</v>
      </c>
      <c r="O122" s="11">
        <f t="shared" si="3"/>
        <v>0.16520362185614637</v>
      </c>
      <c r="P122" s="11">
        <f>(L122-$D122)^2</f>
        <v>5.931225230464638E-2</v>
      </c>
      <c r="Q122" s="11">
        <f>(M122-$D122)^2</f>
        <v>1.1452916342852735E-2</v>
      </c>
    </row>
    <row r="123" spans="1:17" x14ac:dyDescent="0.25">
      <c r="A123" s="3">
        <v>46185</v>
      </c>
      <c r="B123" s="4">
        <v>27</v>
      </c>
      <c r="C123" s="5">
        <v>2.6660456840740232</v>
      </c>
      <c r="D123" s="6">
        <v>2.84</v>
      </c>
      <c r="E123">
        <v>2.677496194839478</v>
      </c>
      <c r="F123">
        <f t="shared" si="4"/>
        <v>3.0260104029274495E-2</v>
      </c>
      <c r="G123">
        <f t="shared" si="4"/>
        <v>2.6407486691648857E-2</v>
      </c>
      <c r="K123">
        <v>2.677496194839478</v>
      </c>
      <c r="L123" s="15">
        <v>2.6291019916534419</v>
      </c>
      <c r="M123" s="15">
        <v>2.779990434646606</v>
      </c>
      <c r="O123" s="11">
        <f t="shared" si="3"/>
        <v>2.6407486691648857E-2</v>
      </c>
      <c r="P123" s="11">
        <f>(L123-$D123)^2</f>
        <v>4.4477969924544815E-2</v>
      </c>
      <c r="Q123" s="11">
        <f>(M123-$D123)^2</f>
        <v>3.6011479339032484E-3</v>
      </c>
    </row>
    <row r="124" spans="1:17" x14ac:dyDescent="0.25">
      <c r="A124" s="3">
        <v>46185</v>
      </c>
      <c r="B124" s="4">
        <v>28</v>
      </c>
      <c r="C124" s="5">
        <v>2.1620772920441591</v>
      </c>
      <c r="D124" s="6">
        <v>2.09</v>
      </c>
      <c r="E124">
        <v>2.045053243637085</v>
      </c>
      <c r="F124">
        <f t="shared" si="4"/>
        <v>5.1951360284190218E-3</v>
      </c>
      <c r="G124">
        <f t="shared" si="4"/>
        <v>2.0202109075472307E-3</v>
      </c>
      <c r="K124">
        <v>2.045053243637085</v>
      </c>
      <c r="L124" s="15">
        <v>1.969558000564575</v>
      </c>
      <c r="M124" s="15">
        <v>2.287147998809814</v>
      </c>
      <c r="O124" s="11">
        <f t="shared" si="3"/>
        <v>2.0202109075472307E-3</v>
      </c>
      <c r="P124" s="11">
        <f>(L124-$D124)^2</f>
        <v>1.4506275228002888E-2</v>
      </c>
      <c r="Q124" s="11">
        <f>(M124-$D124)^2</f>
        <v>3.8867333434714484E-2</v>
      </c>
    </row>
    <row r="125" spans="1:17" x14ac:dyDescent="0.25">
      <c r="A125" s="7">
        <v>46185</v>
      </c>
      <c r="B125" s="4">
        <v>29</v>
      </c>
      <c r="C125" s="5">
        <v>2.2587908665266512</v>
      </c>
      <c r="D125" s="6">
        <v>2.06</v>
      </c>
      <c r="E125">
        <v>2.1429355144500728</v>
      </c>
      <c r="F125">
        <f t="shared" si="4"/>
        <v>3.9517808614416824E-2</v>
      </c>
      <c r="G125">
        <f t="shared" si="4"/>
        <v>6.8782995570982252E-3</v>
      </c>
      <c r="K125">
        <v>2.1429355144500728</v>
      </c>
      <c r="L125" s="15">
        <v>2.0851256847381592</v>
      </c>
      <c r="M125" s="15">
        <v>2.1881380081176758</v>
      </c>
      <c r="O125" s="11">
        <f t="shared" si="3"/>
        <v>6.8782995570982252E-3</v>
      </c>
      <c r="P125" s="11">
        <f>(L125-$D125)^2</f>
        <v>6.3130003356136246E-4</v>
      </c>
      <c r="Q125" s="11">
        <f>(M125-$D125)^2</f>
        <v>1.6419349124365532E-2</v>
      </c>
    </row>
    <row r="126" spans="1:17" x14ac:dyDescent="0.25">
      <c r="A126" s="3">
        <v>46186</v>
      </c>
      <c r="B126" s="4">
        <v>6</v>
      </c>
      <c r="C126" s="5">
        <v>3.4903410438746207</v>
      </c>
      <c r="D126" s="6">
        <v>3.33</v>
      </c>
      <c r="E126">
        <v>3.433070182800293</v>
      </c>
      <c r="F126">
        <f t="shared" si="4"/>
        <v>2.5709250350803032E-2</v>
      </c>
      <c r="G126">
        <f t="shared" si="4"/>
        <v>1.0623462582485794E-2</v>
      </c>
      <c r="K126">
        <v>3.433070182800293</v>
      </c>
      <c r="L126" s="15">
        <v>3.3682188987731929</v>
      </c>
      <c r="M126" s="15">
        <v>3.378496646881104</v>
      </c>
      <c r="O126" s="11">
        <f t="shared" si="3"/>
        <v>1.0623462582485794E-2</v>
      </c>
      <c r="P126" s="11">
        <f>(L126-$D126)^2</f>
        <v>1.4606842234355616E-3</v>
      </c>
      <c r="Q126" s="11">
        <f>(M126-$D126)^2</f>
        <v>2.3519247587104834E-3</v>
      </c>
    </row>
    <row r="127" spans="1:17" x14ac:dyDescent="0.25">
      <c r="A127" s="3">
        <v>46186</v>
      </c>
      <c r="B127" s="4">
        <v>7</v>
      </c>
      <c r="C127" s="5">
        <v>5.919879794922088</v>
      </c>
      <c r="D127" s="6">
        <v>5.52</v>
      </c>
      <c r="E127">
        <v>5.3430948257446289</v>
      </c>
      <c r="F127">
        <f t="shared" si="4"/>
        <v>0.15990385038693153</v>
      </c>
      <c r="G127">
        <f t="shared" si="4"/>
        <v>3.1295440678323058E-2</v>
      </c>
      <c r="K127">
        <v>5.3430948257446289</v>
      </c>
      <c r="L127" s="15">
        <v>5.3699164390563956</v>
      </c>
      <c r="M127" s="15">
        <v>5.4300551414489746</v>
      </c>
      <c r="O127" s="11">
        <f t="shared" si="3"/>
        <v>3.1295440678323058E-2</v>
      </c>
      <c r="P127" s="11">
        <f>(L127-$D127)^2</f>
        <v>2.2525075265512489E-2</v>
      </c>
      <c r="Q127" s="11">
        <f>(M127-$D127)^2</f>
        <v>8.090077579763889E-3</v>
      </c>
    </row>
    <row r="128" spans="1:17" x14ac:dyDescent="0.25">
      <c r="A128" s="3">
        <v>46186</v>
      </c>
      <c r="B128" s="4">
        <v>8</v>
      </c>
      <c r="C128" s="5">
        <v>9.4532382703407762</v>
      </c>
      <c r="D128" s="6">
        <v>9.31</v>
      </c>
      <c r="E128">
        <v>8.3877029418945313</v>
      </c>
      <c r="F128">
        <f t="shared" si="4"/>
        <v>2.0517202090217155E-2</v>
      </c>
      <c r="G128">
        <f t="shared" si="4"/>
        <v>0.8506318633900033</v>
      </c>
      <c r="K128">
        <v>8.3877029418945313</v>
      </c>
      <c r="L128" s="15">
        <v>8.3132839202880859</v>
      </c>
      <c r="M128" s="15">
        <v>8.2108659744262695</v>
      </c>
      <c r="O128" s="11">
        <f t="shared" si="3"/>
        <v>0.8506318633900033</v>
      </c>
      <c r="P128" s="11">
        <f>(L128-$D128)^2</f>
        <v>0.99344294355628759</v>
      </c>
      <c r="Q128" s="11">
        <f>(M128-$D128)^2</f>
        <v>1.208095606173915</v>
      </c>
    </row>
    <row r="129" spans="1:17" x14ac:dyDescent="0.25">
      <c r="A129" s="3">
        <v>46186</v>
      </c>
      <c r="B129" s="4">
        <v>9</v>
      </c>
      <c r="C129" s="5">
        <v>11.912422465414211</v>
      </c>
      <c r="D129" s="6">
        <v>12.59</v>
      </c>
      <c r="E129">
        <v>10.889238357543951</v>
      </c>
      <c r="F129">
        <f t="shared" si="4"/>
        <v>0.45911131537535527</v>
      </c>
      <c r="G129">
        <f t="shared" si="4"/>
        <v>2.892590164449798</v>
      </c>
      <c r="K129">
        <v>10.889238357543951</v>
      </c>
      <c r="L129" s="15">
        <v>10.96802806854248</v>
      </c>
      <c r="M129" s="15">
        <v>10.87246608734131</v>
      </c>
      <c r="O129" s="11">
        <f t="shared" si="3"/>
        <v>2.892590164449798</v>
      </c>
      <c r="P129" s="11">
        <f>(L129-$D129)^2</f>
        <v>2.6307929464360358</v>
      </c>
      <c r="Q129" s="11">
        <f>(M129-$D129)^2</f>
        <v>2.9499227411326667</v>
      </c>
    </row>
    <row r="130" spans="1:17" x14ac:dyDescent="0.25">
      <c r="A130" s="3">
        <v>46186</v>
      </c>
      <c r="B130" s="4">
        <v>10</v>
      </c>
      <c r="C130" s="5">
        <v>12.994670398600579</v>
      </c>
      <c r="D130" s="6">
        <v>13.89</v>
      </c>
      <c r="E130">
        <v>12.02849864959717</v>
      </c>
      <c r="F130">
        <f t="shared" si="4"/>
        <v>0.80161509514204643</v>
      </c>
      <c r="G130">
        <f t="shared" si="4"/>
        <v>3.4651872775515629</v>
      </c>
      <c r="K130">
        <v>12.02849864959717</v>
      </c>
      <c r="L130" s="15">
        <v>12.33254241943359</v>
      </c>
      <c r="M130" s="15">
        <v>11.83563899993896</v>
      </c>
      <c r="O130" s="11">
        <f t="shared" ref="O130:O193" si="5">(K130-$D130)^2</f>
        <v>3.4651872775515629</v>
      </c>
      <c r="P130" s="11">
        <f>(L130-$D130)^2</f>
        <v>2.4256741152637766</v>
      </c>
      <c r="Q130" s="11">
        <f>(M130-$D130)^2</f>
        <v>4.2203991185718008</v>
      </c>
    </row>
    <row r="131" spans="1:17" x14ac:dyDescent="0.25">
      <c r="A131" s="3">
        <v>46186</v>
      </c>
      <c r="B131" s="4">
        <v>11</v>
      </c>
      <c r="C131" s="5">
        <v>13.016746793088004</v>
      </c>
      <c r="D131" s="6">
        <v>14.09</v>
      </c>
      <c r="E131">
        <v>12.16238307952881</v>
      </c>
      <c r="F131">
        <f t="shared" ref="F131:G194" si="6">(C131-D131)^2</f>
        <v>1.1518724461468841</v>
      </c>
      <c r="G131">
        <f t="shared" si="6"/>
        <v>3.7157069920868322</v>
      </c>
      <c r="K131">
        <v>12.16238307952881</v>
      </c>
      <c r="L131" s="15">
        <v>12.444657325744631</v>
      </c>
      <c r="M131" s="15">
        <v>11.75076293945312</v>
      </c>
      <c r="O131" s="11">
        <f t="shared" si="5"/>
        <v>3.7157069920868322</v>
      </c>
      <c r="P131" s="11">
        <f>(L131-$D131)^2</f>
        <v>2.7071525157258098</v>
      </c>
      <c r="Q131" s="11">
        <f>(M131-$D131)^2</f>
        <v>5.4720300254360081</v>
      </c>
    </row>
    <row r="132" spans="1:17" x14ac:dyDescent="0.25">
      <c r="A132" s="3">
        <v>46186</v>
      </c>
      <c r="B132" s="4">
        <v>12</v>
      </c>
      <c r="C132" s="5">
        <v>12.413591942509926</v>
      </c>
      <c r="D132" s="6">
        <v>13.65</v>
      </c>
      <c r="E132">
        <v>12.138583183288571</v>
      </c>
      <c r="F132">
        <f t="shared" si="6"/>
        <v>1.528704884626378</v>
      </c>
      <c r="G132">
        <f t="shared" si="6"/>
        <v>2.2843807938381113</v>
      </c>
      <c r="K132">
        <v>12.138583183288571</v>
      </c>
      <c r="L132" s="15">
        <v>12.283511161804199</v>
      </c>
      <c r="M132" s="15">
        <v>11.751760482788089</v>
      </c>
      <c r="O132" s="11">
        <f t="shared" si="5"/>
        <v>2.2843807938381113</v>
      </c>
      <c r="P132" s="11">
        <f>(L132-$D132)^2</f>
        <v>1.8672917449137103</v>
      </c>
      <c r="Q132" s="11">
        <f>(M132-$D132)^2</f>
        <v>3.6033132647049086</v>
      </c>
    </row>
    <row r="133" spans="1:17" x14ac:dyDescent="0.25">
      <c r="A133" s="3">
        <v>46186</v>
      </c>
      <c r="B133" s="4">
        <v>13</v>
      </c>
      <c r="C133" s="5">
        <v>12.730697272927291</v>
      </c>
      <c r="D133" s="6">
        <v>14.1</v>
      </c>
      <c r="E133">
        <v>12.502640724182131</v>
      </c>
      <c r="F133">
        <f t="shared" si="6"/>
        <v>1.8749899583687577</v>
      </c>
      <c r="G133">
        <f t="shared" si="6"/>
        <v>2.5515566560413867</v>
      </c>
      <c r="K133">
        <v>12.502640724182131</v>
      </c>
      <c r="L133" s="15">
        <v>12.564841270446779</v>
      </c>
      <c r="M133" s="15">
        <v>12.40530395507812</v>
      </c>
      <c r="O133" s="11">
        <f t="shared" si="5"/>
        <v>2.5515566560413867</v>
      </c>
      <c r="P133" s="11">
        <f>(L133-$D133)^2</f>
        <v>2.3567123249234583</v>
      </c>
      <c r="Q133" s="11">
        <f>(M133-$D133)^2</f>
        <v>2.8719946846738624</v>
      </c>
    </row>
    <row r="134" spans="1:17" x14ac:dyDescent="0.25">
      <c r="A134" s="3">
        <v>46186</v>
      </c>
      <c r="B134" s="4">
        <v>14</v>
      </c>
      <c r="C134" s="5">
        <v>14.066952416561191</v>
      </c>
      <c r="D134" s="6">
        <v>14.07</v>
      </c>
      <c r="E134">
        <v>13.63265800476074</v>
      </c>
      <c r="F134">
        <f t="shared" si="6"/>
        <v>9.2877648165019319E-6</v>
      </c>
      <c r="G134">
        <f t="shared" si="6"/>
        <v>0.1912680207998568</v>
      </c>
      <c r="K134">
        <v>13.63265800476074</v>
      </c>
      <c r="L134" s="15">
        <v>13.680671691894529</v>
      </c>
      <c r="M134" s="15">
        <v>13.492415428161619</v>
      </c>
      <c r="O134" s="11">
        <f t="shared" si="5"/>
        <v>0.1912680207998568</v>
      </c>
      <c r="P134" s="11">
        <f>(L134-$D134)^2</f>
        <v>0.15157653149226841</v>
      </c>
      <c r="Q134" s="11">
        <f>(M134-$D134)^2</f>
        <v>0.33360393762572588</v>
      </c>
    </row>
    <row r="135" spans="1:17" x14ac:dyDescent="0.25">
      <c r="A135" s="3">
        <v>46186</v>
      </c>
      <c r="B135" s="4">
        <v>15</v>
      </c>
      <c r="C135" s="5">
        <v>14.943574503950407</v>
      </c>
      <c r="D135" s="6">
        <v>14.89</v>
      </c>
      <c r="E135">
        <v>14.22025203704834</v>
      </c>
      <c r="F135">
        <f t="shared" si="6"/>
        <v>2.8702274735320768E-3</v>
      </c>
      <c r="G135">
        <f t="shared" si="6"/>
        <v>0.44856233387789912</v>
      </c>
      <c r="K135">
        <v>14.22025203704834</v>
      </c>
      <c r="L135" s="15">
        <v>14.35714721679688</v>
      </c>
      <c r="M135" s="15">
        <v>14.200387001037599</v>
      </c>
      <c r="O135" s="11">
        <f t="shared" si="5"/>
        <v>0.44856233387789912</v>
      </c>
      <c r="P135" s="11">
        <f>(L135-$D135)^2</f>
        <v>0.28393208856731145</v>
      </c>
      <c r="Q135" s="11">
        <f>(M135-$D135)^2</f>
        <v>0.47556608833791669</v>
      </c>
    </row>
    <row r="136" spans="1:17" x14ac:dyDescent="0.25">
      <c r="A136" s="3">
        <v>46186</v>
      </c>
      <c r="B136" s="4">
        <v>16</v>
      </c>
      <c r="C136" s="5">
        <v>15.274618239093</v>
      </c>
      <c r="D136" s="6">
        <v>16.03</v>
      </c>
      <c r="E136">
        <v>14.480130195617679</v>
      </c>
      <c r="F136">
        <f t="shared" si="6"/>
        <v>0.570601604710962</v>
      </c>
      <c r="G136">
        <f t="shared" si="6"/>
        <v>2.4020964105360965</v>
      </c>
      <c r="K136">
        <v>14.480130195617679</v>
      </c>
      <c r="L136" s="15">
        <v>14.73548698425293</v>
      </c>
      <c r="M136" s="15">
        <v>14.230484962463381</v>
      </c>
      <c r="O136" s="11">
        <f t="shared" si="5"/>
        <v>2.4020964105360965</v>
      </c>
      <c r="P136" s="11">
        <f>(L136-$D136)^2</f>
        <v>1.6757639479385777</v>
      </c>
      <c r="Q136" s="11">
        <f>(M136-$D136)^2</f>
        <v>3.2382543703204245</v>
      </c>
    </row>
    <row r="137" spans="1:17" x14ac:dyDescent="0.25">
      <c r="A137" s="3">
        <v>46186</v>
      </c>
      <c r="B137" s="4">
        <v>17</v>
      </c>
      <c r="C137" s="5">
        <v>15.733813551972709</v>
      </c>
      <c r="D137" s="6">
        <v>16.2</v>
      </c>
      <c r="E137">
        <v>15.64286994934082</v>
      </c>
      <c r="F137">
        <f t="shared" si="6"/>
        <v>0.21732980432430149</v>
      </c>
      <c r="G137">
        <f t="shared" si="6"/>
        <v>0.31039389334749934</v>
      </c>
      <c r="K137">
        <v>15.64286994934082</v>
      </c>
      <c r="L137" s="15">
        <v>15.57503700256348</v>
      </c>
      <c r="M137" s="15">
        <v>14.662399291992189</v>
      </c>
      <c r="O137" s="11">
        <f t="shared" si="5"/>
        <v>0.31039389334749934</v>
      </c>
      <c r="P137" s="11">
        <f>(L137-$D137)^2</f>
        <v>0.39057874816483867</v>
      </c>
      <c r="Q137" s="11">
        <f>(M137-$D137)^2</f>
        <v>2.3642159372661187</v>
      </c>
    </row>
    <row r="138" spans="1:17" x14ac:dyDescent="0.25">
      <c r="A138" s="3">
        <v>46186</v>
      </c>
      <c r="B138" s="4">
        <v>18</v>
      </c>
      <c r="C138" s="5">
        <v>16.505895711660305</v>
      </c>
      <c r="D138" s="6">
        <v>17.7</v>
      </c>
      <c r="E138">
        <v>16.680751800537109</v>
      </c>
      <c r="F138">
        <f t="shared" si="6"/>
        <v>1.4258850514312484</v>
      </c>
      <c r="G138">
        <f t="shared" si="6"/>
        <v>1.038866892108343</v>
      </c>
      <c r="K138">
        <v>16.680751800537109</v>
      </c>
      <c r="L138" s="15">
        <v>16.379604339599609</v>
      </c>
      <c r="M138" s="15">
        <v>15.514394760131839</v>
      </c>
      <c r="O138" s="11">
        <f t="shared" si="5"/>
        <v>1.038866892108343</v>
      </c>
      <c r="P138" s="11">
        <f>(L138-$D138)^2</f>
        <v>1.7434447000041817</v>
      </c>
      <c r="Q138" s="11">
        <f>(M138-$D138)^2</f>
        <v>4.7768702645391565</v>
      </c>
    </row>
    <row r="139" spans="1:17" x14ac:dyDescent="0.25">
      <c r="A139" s="3">
        <v>46186</v>
      </c>
      <c r="B139" s="4">
        <v>19</v>
      </c>
      <c r="C139" s="5">
        <v>19.416513618273704</v>
      </c>
      <c r="D139" s="6">
        <v>20.84</v>
      </c>
      <c r="E139">
        <v>19.018987655639648</v>
      </c>
      <c r="F139">
        <f t="shared" si="6"/>
        <v>2.0263134789602208</v>
      </c>
      <c r="G139">
        <f t="shared" si="6"/>
        <v>3.3160859583127831</v>
      </c>
      <c r="K139">
        <v>19.018987655639648</v>
      </c>
      <c r="L139" s="15">
        <v>18.511453628540039</v>
      </c>
      <c r="M139" s="15">
        <v>17.322055816650391</v>
      </c>
      <c r="O139" s="11">
        <f t="shared" si="5"/>
        <v>3.3160859583127831</v>
      </c>
      <c r="P139" s="11">
        <f>(L139-$D139)^2</f>
        <v>5.4221282040393497</v>
      </c>
      <c r="Q139" s="11">
        <f>(M139-$D139)^2</f>
        <v>12.37593127716335</v>
      </c>
    </row>
    <row r="140" spans="1:17" x14ac:dyDescent="0.25">
      <c r="A140" s="3">
        <v>46186</v>
      </c>
      <c r="B140" s="4">
        <v>20</v>
      </c>
      <c r="C140" s="5">
        <v>22.289766018812216</v>
      </c>
      <c r="D140" s="6">
        <v>22.71</v>
      </c>
      <c r="E140">
        <v>21.801456451416019</v>
      </c>
      <c r="F140">
        <f t="shared" si="6"/>
        <v>0.17659659894493554</v>
      </c>
      <c r="G140">
        <f t="shared" si="6"/>
        <v>0.82545137967357385</v>
      </c>
      <c r="K140">
        <v>21.801456451416019</v>
      </c>
      <c r="L140" s="15">
        <v>20.929864883422852</v>
      </c>
      <c r="M140" s="15">
        <v>18.733268737792969</v>
      </c>
      <c r="O140" s="11">
        <f t="shared" si="5"/>
        <v>0.82545137967357385</v>
      </c>
      <c r="P140" s="11">
        <f>(L140-$D140)^2</f>
        <v>3.1688810332711408</v>
      </c>
      <c r="Q140" s="11">
        <f>(M140-$D140)^2</f>
        <v>15.814391531814735</v>
      </c>
    </row>
    <row r="141" spans="1:17" x14ac:dyDescent="0.25">
      <c r="A141" s="3">
        <v>46186</v>
      </c>
      <c r="B141" s="4">
        <v>21</v>
      </c>
      <c r="C141" s="5">
        <v>23.661487261140088</v>
      </c>
      <c r="D141" s="6">
        <v>25.9</v>
      </c>
      <c r="E141">
        <v>24.477933883666989</v>
      </c>
      <c r="F141">
        <f t="shared" si="6"/>
        <v>5.0109392820380965</v>
      </c>
      <c r="G141">
        <f t="shared" si="6"/>
        <v>2.0222720392224498</v>
      </c>
      <c r="K141">
        <v>24.477933883666989</v>
      </c>
      <c r="L141" s="15">
        <v>23.93892860412598</v>
      </c>
      <c r="M141" s="15">
        <v>21.068778991699219</v>
      </c>
      <c r="O141" s="11">
        <f t="shared" si="5"/>
        <v>2.0222720392224498</v>
      </c>
      <c r="P141" s="11">
        <f>(L141-$D141)^2</f>
        <v>3.8458010197152714</v>
      </c>
      <c r="Q141" s="11">
        <f>(M141-$D141)^2</f>
        <v>23.340696431046805</v>
      </c>
    </row>
    <row r="142" spans="1:17" x14ac:dyDescent="0.25">
      <c r="A142" s="3">
        <v>46186</v>
      </c>
      <c r="B142" s="4">
        <v>22</v>
      </c>
      <c r="C142" s="5">
        <v>22.387303466270932</v>
      </c>
      <c r="D142" s="6">
        <v>24.81</v>
      </c>
      <c r="E142">
        <v>23.824151992797852</v>
      </c>
      <c r="F142">
        <f t="shared" si="6"/>
        <v>5.8694584945428341</v>
      </c>
      <c r="G142">
        <f t="shared" si="6"/>
        <v>0.97189629330444482</v>
      </c>
      <c r="K142">
        <v>23.824151992797852</v>
      </c>
      <c r="L142" s="15">
        <v>23.754098892211911</v>
      </c>
      <c r="M142" s="15">
        <v>21.872505187988281</v>
      </c>
      <c r="O142" s="11">
        <f t="shared" si="5"/>
        <v>0.97189629330444482</v>
      </c>
      <c r="P142" s="11">
        <f>(L142-$D142)^2</f>
        <v>1.1149271494281119</v>
      </c>
      <c r="Q142" s="11">
        <f>(M142-$D142)^2</f>
        <v>8.6288757705957551</v>
      </c>
    </row>
    <row r="143" spans="1:17" x14ac:dyDescent="0.25">
      <c r="A143" s="3">
        <v>46186</v>
      </c>
      <c r="B143" s="4">
        <v>23</v>
      </c>
      <c r="C143" s="5">
        <v>18.102265027211089</v>
      </c>
      <c r="D143" s="6">
        <v>18.48</v>
      </c>
      <c r="E143">
        <v>17.515190124511719</v>
      </c>
      <c r="F143">
        <f t="shared" si="6"/>
        <v>0.14268370966783933</v>
      </c>
      <c r="G143">
        <f t="shared" si="6"/>
        <v>0.93085809583971357</v>
      </c>
      <c r="K143">
        <v>17.515190124511719</v>
      </c>
      <c r="L143" s="15">
        <v>17.921665191650391</v>
      </c>
      <c r="M143" s="15">
        <v>17.096452713012699</v>
      </c>
      <c r="O143" s="11">
        <f t="shared" si="5"/>
        <v>0.93085809583971357</v>
      </c>
      <c r="P143" s="11">
        <f>(L143-$D143)^2</f>
        <v>0.31173775821479549</v>
      </c>
      <c r="Q143" s="11">
        <f>(M143-$D143)^2</f>
        <v>1.9142030953299225</v>
      </c>
    </row>
    <row r="144" spans="1:17" x14ac:dyDescent="0.25">
      <c r="A144" s="3">
        <v>46186</v>
      </c>
      <c r="B144" s="4">
        <v>24</v>
      </c>
      <c r="C144" s="5">
        <v>11.886294753346501</v>
      </c>
      <c r="D144" s="6">
        <v>12.38</v>
      </c>
      <c r="E144">
        <v>12.251461982727051</v>
      </c>
      <c r="F144">
        <f t="shared" si="6"/>
        <v>0.24374487057319297</v>
      </c>
      <c r="G144">
        <f t="shared" si="6"/>
        <v>1.6522021884461193E-2</v>
      </c>
      <c r="K144">
        <v>12.251461982727051</v>
      </c>
      <c r="L144" s="15">
        <v>12.202140808105471</v>
      </c>
      <c r="M144" s="15">
        <v>12.621767044067379</v>
      </c>
      <c r="O144" s="11">
        <f t="shared" si="5"/>
        <v>1.6522021884461193E-2</v>
      </c>
      <c r="P144" s="11">
        <f>(L144-$D144)^2</f>
        <v>3.1633892141375339E-2</v>
      </c>
      <c r="Q144" s="11">
        <f>(M144-$D144)^2</f>
        <v>5.8451303597077724E-2</v>
      </c>
    </row>
    <row r="145" spans="1:17" x14ac:dyDescent="0.25">
      <c r="A145" s="3">
        <v>46186</v>
      </c>
      <c r="B145" s="4">
        <v>25</v>
      </c>
      <c r="C145" s="5">
        <v>7.3037940334218243</v>
      </c>
      <c r="D145" s="6">
        <v>7.97</v>
      </c>
      <c r="E145">
        <v>7.9625978469848633</v>
      </c>
      <c r="F145">
        <f t="shared" si="6"/>
        <v>0.44383038990436102</v>
      </c>
      <c r="G145">
        <f t="shared" si="6"/>
        <v>5.4791869259493932E-5</v>
      </c>
      <c r="K145">
        <v>7.9625978469848633</v>
      </c>
      <c r="L145" s="15">
        <v>7.5869426727294922</v>
      </c>
      <c r="M145" s="15">
        <v>8.2192344665527344</v>
      </c>
      <c r="O145" s="11">
        <f t="shared" si="5"/>
        <v>5.4791869259493932E-5</v>
      </c>
      <c r="P145" s="11">
        <f>(L145-$D145)^2</f>
        <v>0.14673291597562474</v>
      </c>
      <c r="Q145" s="11">
        <f>(M145-$D145)^2</f>
        <v>6.2117819317826194E-2</v>
      </c>
    </row>
    <row r="146" spans="1:17" x14ac:dyDescent="0.25">
      <c r="A146" s="3">
        <v>46186</v>
      </c>
      <c r="B146" s="4">
        <v>26</v>
      </c>
      <c r="C146" s="5">
        <v>4.6362069767544858</v>
      </c>
      <c r="D146" s="6">
        <v>4.74</v>
      </c>
      <c r="E146">
        <v>4.7403659820556641</v>
      </c>
      <c r="F146">
        <f t="shared" si="6"/>
        <v>1.0772991674443897E-2</v>
      </c>
      <c r="G146">
        <f t="shared" si="6"/>
        <v>1.3394286506793692E-7</v>
      </c>
      <c r="K146">
        <v>4.7403659820556641</v>
      </c>
      <c r="L146" s="15">
        <v>4.5754075050354004</v>
      </c>
      <c r="M146" s="15">
        <v>4.8232421875</v>
      </c>
      <c r="O146" s="11">
        <f t="shared" si="5"/>
        <v>1.3394286506793692E-7</v>
      </c>
      <c r="P146" s="11">
        <f>(L146-$D146)^2</f>
        <v>2.7090689398671819E-2</v>
      </c>
      <c r="Q146" s="11">
        <f>(M146-$D146)^2</f>
        <v>6.929261779785121E-3</v>
      </c>
    </row>
    <row r="147" spans="1:17" x14ac:dyDescent="0.25">
      <c r="A147" s="3">
        <v>46186</v>
      </c>
      <c r="B147" s="4">
        <v>27</v>
      </c>
      <c r="C147" s="5">
        <v>3.1066357422307802</v>
      </c>
      <c r="D147" s="6">
        <v>3.07</v>
      </c>
      <c r="E147">
        <v>3.092410564422607</v>
      </c>
      <c r="F147">
        <f t="shared" si="6"/>
        <v>1.342177608800184E-3</v>
      </c>
      <c r="G147">
        <f t="shared" si="6"/>
        <v>5.0223339773982484E-4</v>
      </c>
      <c r="K147">
        <v>3.092410564422607</v>
      </c>
      <c r="L147" s="15">
        <v>3.0286998748779301</v>
      </c>
      <c r="M147" s="15">
        <v>3.2284703254699711</v>
      </c>
      <c r="O147" s="11">
        <f t="shared" si="5"/>
        <v>5.0223339773982484E-4</v>
      </c>
      <c r="P147" s="11">
        <f>(L147-$D147)^2</f>
        <v>1.7057003350986135E-3</v>
      </c>
      <c r="Q147" s="11">
        <f>(M147-$D147)^2</f>
        <v>2.5112844054558638E-2</v>
      </c>
    </row>
    <row r="148" spans="1:17" x14ac:dyDescent="0.25">
      <c r="A148" s="3">
        <v>46186</v>
      </c>
      <c r="B148" s="4">
        <v>28</v>
      </c>
      <c r="C148" s="5">
        <v>2.2842825211102999</v>
      </c>
      <c r="D148" s="6">
        <v>2.38</v>
      </c>
      <c r="E148">
        <v>2.2395362854003911</v>
      </c>
      <c r="F148">
        <f t="shared" si="6"/>
        <v>9.1618357650001554E-3</v>
      </c>
      <c r="G148">
        <f t="shared" si="6"/>
        <v>1.9730055119120363E-2</v>
      </c>
      <c r="K148">
        <v>2.2395362854003911</v>
      </c>
      <c r="L148" s="15">
        <v>2.147998571395874</v>
      </c>
      <c r="M148" s="15">
        <v>2.4840490818023682</v>
      </c>
      <c r="O148" s="11">
        <f t="shared" si="5"/>
        <v>1.9730055119120363E-2</v>
      </c>
      <c r="P148" s="11">
        <f>(L148-$D148)^2</f>
        <v>5.3824662874355313E-2</v>
      </c>
      <c r="Q148" s="11">
        <f>(M148-$D148)^2</f>
        <v>1.0826211423915924E-2</v>
      </c>
    </row>
    <row r="149" spans="1:17" x14ac:dyDescent="0.25">
      <c r="A149" s="7">
        <v>46186</v>
      </c>
      <c r="B149" s="4">
        <v>29</v>
      </c>
      <c r="C149" s="5">
        <v>2.2062784178818609</v>
      </c>
      <c r="D149" s="6">
        <v>2.34</v>
      </c>
      <c r="E149">
        <v>2.095378160476685</v>
      </c>
      <c r="F149">
        <f t="shared" si="6"/>
        <v>1.7881461524178192E-2</v>
      </c>
      <c r="G149">
        <f t="shared" si="6"/>
        <v>5.9839844371770402E-2</v>
      </c>
      <c r="K149">
        <v>2.095378160476685</v>
      </c>
      <c r="L149" s="15">
        <v>2.0080385208129878</v>
      </c>
      <c r="M149" s="15">
        <v>2.2381126880645752</v>
      </c>
      <c r="O149" s="11">
        <f t="shared" si="5"/>
        <v>5.9839844371770402E-2</v>
      </c>
      <c r="P149" s="11">
        <f>(L149-$D149)^2</f>
        <v>0.11019842366402902</v>
      </c>
      <c r="Q149" s="11">
        <f>(M149-$D149)^2</f>
        <v>1.0381024333426529E-2</v>
      </c>
    </row>
    <row r="150" spans="1:17" x14ac:dyDescent="0.25">
      <c r="A150" s="3">
        <v>46187</v>
      </c>
      <c r="B150" s="4">
        <v>6</v>
      </c>
      <c r="C150" s="5">
        <v>3.2577507023596741</v>
      </c>
      <c r="D150" s="6">
        <v>3.4</v>
      </c>
      <c r="E150">
        <v>3.23797607421875</v>
      </c>
      <c r="F150">
        <f t="shared" si="6"/>
        <v>2.0234862679165997E-2</v>
      </c>
      <c r="G150">
        <f t="shared" si="6"/>
        <v>2.6251752525567981E-2</v>
      </c>
      <c r="K150">
        <v>3.23797607421875</v>
      </c>
      <c r="L150" s="15">
        <v>3.1167845726013179</v>
      </c>
      <c r="M150" s="15">
        <v>3.4647750854492192</v>
      </c>
      <c r="O150" s="11">
        <f t="shared" si="5"/>
        <v>2.6251752525567981E-2</v>
      </c>
      <c r="P150" s="11">
        <f>(L150-$D150)^2</f>
        <v>8.0210978316618109E-2</v>
      </c>
      <c r="Q150" s="11">
        <f>(M150-$D150)^2</f>
        <v>4.1958116949536595E-3</v>
      </c>
    </row>
    <row r="151" spans="1:17" x14ac:dyDescent="0.25">
      <c r="A151" s="3">
        <v>46187</v>
      </c>
      <c r="B151" s="4">
        <v>7</v>
      </c>
      <c r="C151" s="5">
        <v>5.7386265906471836</v>
      </c>
      <c r="D151" s="6">
        <v>6.1</v>
      </c>
      <c r="E151">
        <v>5.6377854347229004</v>
      </c>
      <c r="F151">
        <f t="shared" si="6"/>
        <v>0.13059074098727794</v>
      </c>
      <c r="G151">
        <f t="shared" si="6"/>
        <v>0.21364230435429785</v>
      </c>
      <c r="K151">
        <v>5.6377854347229004</v>
      </c>
      <c r="L151" s="15">
        <v>5.5129075050354004</v>
      </c>
      <c r="M151" s="15">
        <v>5.898247241973877</v>
      </c>
      <c r="O151" s="11">
        <f t="shared" si="5"/>
        <v>0.21364230435429785</v>
      </c>
      <c r="P151" s="11">
        <f>(L151-$D151)^2</f>
        <v>0.34467759764375799</v>
      </c>
      <c r="Q151" s="11">
        <f>(M151-$D151)^2</f>
        <v>4.0704175371147212E-2</v>
      </c>
    </row>
    <row r="152" spans="1:17" x14ac:dyDescent="0.25">
      <c r="A152" s="3">
        <v>46187</v>
      </c>
      <c r="B152" s="4">
        <v>8</v>
      </c>
      <c r="C152" s="5">
        <v>9.7869244129954449</v>
      </c>
      <c r="D152" s="6">
        <v>10.83</v>
      </c>
      <c r="E152">
        <v>9.5321741104125977</v>
      </c>
      <c r="F152">
        <f t="shared" si="6"/>
        <v>1.0880066802048973</v>
      </c>
      <c r="G152">
        <f t="shared" si="6"/>
        <v>1.6843520396833325</v>
      </c>
      <c r="K152">
        <v>9.5321741104125977</v>
      </c>
      <c r="L152" s="15">
        <v>9.525059700012207</v>
      </c>
      <c r="M152" s="15">
        <v>9.8796520233154297</v>
      </c>
      <c r="O152" s="11">
        <f t="shared" si="5"/>
        <v>1.6843520396833325</v>
      </c>
      <c r="P152" s="11">
        <f>(L152-$D152)^2</f>
        <v>1.7028691865322312</v>
      </c>
      <c r="Q152" s="11">
        <f>(M152-$D152)^2</f>
        <v>0.9031612767884567</v>
      </c>
    </row>
    <row r="153" spans="1:17" x14ac:dyDescent="0.25">
      <c r="A153" s="3">
        <v>46187</v>
      </c>
      <c r="B153" s="4">
        <v>9</v>
      </c>
      <c r="C153" s="5">
        <v>14.18393799571734</v>
      </c>
      <c r="D153" s="6">
        <v>14.99</v>
      </c>
      <c r="E153">
        <v>13.749202728271481</v>
      </c>
      <c r="F153">
        <f t="shared" si="6"/>
        <v>0.64973595474817947</v>
      </c>
      <c r="G153">
        <f t="shared" si="6"/>
        <v>1.5395778695289373</v>
      </c>
      <c r="K153">
        <v>13.749202728271481</v>
      </c>
      <c r="L153" s="15">
        <v>13.531516075134279</v>
      </c>
      <c r="M153" s="15">
        <v>13.627670288085939</v>
      </c>
      <c r="O153" s="11">
        <f t="shared" si="5"/>
        <v>1.5395778695289373</v>
      </c>
      <c r="P153" s="11">
        <f>(L153-$D153)^2</f>
        <v>2.1271753590917184</v>
      </c>
      <c r="Q153" s="11">
        <f>(M153-$D153)^2</f>
        <v>1.8559422439638482</v>
      </c>
    </row>
    <row r="154" spans="1:17" x14ac:dyDescent="0.25">
      <c r="A154" s="3">
        <v>46187</v>
      </c>
      <c r="B154" s="4">
        <v>10</v>
      </c>
      <c r="C154" s="5">
        <v>16.783403147953617</v>
      </c>
      <c r="D154" s="6">
        <v>18.3</v>
      </c>
      <c r="E154">
        <v>16.06403732299805</v>
      </c>
      <c r="F154">
        <f t="shared" si="6"/>
        <v>2.300066011637</v>
      </c>
      <c r="G154">
        <f t="shared" si="6"/>
        <v>4.9995290929457274</v>
      </c>
      <c r="K154">
        <v>16.06403732299805</v>
      </c>
      <c r="L154" s="15">
        <v>16.078962326049801</v>
      </c>
      <c r="M154" s="15">
        <v>16.41694450378418</v>
      </c>
      <c r="O154" s="11">
        <f t="shared" si="5"/>
        <v>4.9995290929457274</v>
      </c>
      <c r="P154" s="11">
        <f>(L154-$D154)^2</f>
        <v>4.933008349106113</v>
      </c>
      <c r="Q154" s="11">
        <f>(M154-$D154)^2</f>
        <v>3.5458980018286121</v>
      </c>
    </row>
    <row r="155" spans="1:17" x14ac:dyDescent="0.25">
      <c r="A155" s="3">
        <v>46187</v>
      </c>
      <c r="B155" s="4">
        <v>11</v>
      </c>
      <c r="C155" s="5">
        <v>17.804076764367068</v>
      </c>
      <c r="D155" s="6">
        <v>20.010000000000002</v>
      </c>
      <c r="E155">
        <v>16.894878387451168</v>
      </c>
      <c r="F155">
        <f t="shared" si="6"/>
        <v>4.8660973215052721</v>
      </c>
      <c r="G155">
        <f t="shared" si="6"/>
        <v>9.703982660968844</v>
      </c>
      <c r="K155">
        <v>16.894878387451168</v>
      </c>
      <c r="L155" s="15">
        <v>17.01303863525391</v>
      </c>
      <c r="M155" s="15">
        <v>17.035062789916989</v>
      </c>
      <c r="O155" s="11">
        <f t="shared" si="5"/>
        <v>9.703982660968844</v>
      </c>
      <c r="P155" s="11">
        <f>(L155-$D155)^2</f>
        <v>8.9817774217807571</v>
      </c>
      <c r="Q155" s="11">
        <f>(M155-$D155)^2</f>
        <v>8.8502514039365003</v>
      </c>
    </row>
    <row r="156" spans="1:17" x14ac:dyDescent="0.25">
      <c r="A156" s="3">
        <v>46187</v>
      </c>
      <c r="B156" s="4">
        <v>12</v>
      </c>
      <c r="C156" s="5">
        <v>17.753555435220733</v>
      </c>
      <c r="D156" s="6">
        <v>19.989999999999998</v>
      </c>
      <c r="E156">
        <v>17.074699401855469</v>
      </c>
      <c r="F156">
        <f t="shared" si="6"/>
        <v>5.0016842913307187</v>
      </c>
      <c r="G156">
        <f t="shared" si="6"/>
        <v>8.4989775775418526</v>
      </c>
      <c r="K156">
        <v>17.074699401855469</v>
      </c>
      <c r="L156" s="15">
        <v>17.346893310546879</v>
      </c>
      <c r="M156" s="15">
        <v>16.8780632019043</v>
      </c>
      <c r="O156" s="11">
        <f t="shared" si="5"/>
        <v>8.4989775775418526</v>
      </c>
      <c r="P156" s="11">
        <f>(L156-$D156)^2</f>
        <v>6.9860129718318307</v>
      </c>
      <c r="Q156" s="11">
        <f>(M156-$D156)^2</f>
        <v>9.684150635342105</v>
      </c>
    </row>
    <row r="157" spans="1:17" x14ac:dyDescent="0.25">
      <c r="A157" s="3">
        <v>46187</v>
      </c>
      <c r="B157" s="4">
        <v>13</v>
      </c>
      <c r="C157" s="5">
        <v>17.485080279485452</v>
      </c>
      <c r="D157" s="6">
        <v>20.71</v>
      </c>
      <c r="E157">
        <v>17.957321166992191</v>
      </c>
      <c r="F157">
        <f t="shared" si="6"/>
        <v>10.400107203763639</v>
      </c>
      <c r="G157">
        <f t="shared" si="6"/>
        <v>7.5772407576892373</v>
      </c>
      <c r="K157">
        <v>17.957321166992191</v>
      </c>
      <c r="L157" s="15">
        <v>18.0412712097168</v>
      </c>
      <c r="M157" s="15">
        <v>17.592815399169918</v>
      </c>
      <c r="O157" s="11">
        <f t="shared" si="5"/>
        <v>7.5772407576892373</v>
      </c>
      <c r="P157" s="11">
        <f>(L157-$D157)^2</f>
        <v>7.1221133560864347</v>
      </c>
      <c r="Q157" s="11">
        <f>(M157-$D157)^2</f>
        <v>9.7168398356522001</v>
      </c>
    </row>
    <row r="158" spans="1:17" x14ac:dyDescent="0.25">
      <c r="A158" s="3">
        <v>46187</v>
      </c>
      <c r="B158" s="4">
        <v>14</v>
      </c>
      <c r="C158" s="5">
        <v>18.609289231438641</v>
      </c>
      <c r="D158" s="6">
        <v>21.55</v>
      </c>
      <c r="E158">
        <v>18.593194961547852</v>
      </c>
      <c r="F158">
        <f t="shared" si="6"/>
        <v>8.6477798243327424</v>
      </c>
      <c r="G158">
        <f t="shared" si="6"/>
        <v>8.7426960354160155</v>
      </c>
      <c r="K158">
        <v>18.593194961547852</v>
      </c>
      <c r="L158" s="15">
        <v>18.365957260131839</v>
      </c>
      <c r="M158" s="15">
        <v>18.178045272827148</v>
      </c>
      <c r="O158" s="11">
        <f t="shared" si="5"/>
        <v>8.7426960354160155</v>
      </c>
      <c r="P158" s="11">
        <f>(L158-$D158)^2</f>
        <v>10.138128169307146</v>
      </c>
      <c r="Q158" s="11">
        <f>(M158-$D158)^2</f>
        <v>11.370078682103344</v>
      </c>
    </row>
    <row r="159" spans="1:17" x14ac:dyDescent="0.25">
      <c r="A159" s="3">
        <v>46187</v>
      </c>
      <c r="B159" s="4">
        <v>15</v>
      </c>
      <c r="C159" s="5">
        <v>19.200091157938758</v>
      </c>
      <c r="D159" s="6">
        <v>22.38</v>
      </c>
      <c r="E159">
        <v>19.007684707641602</v>
      </c>
      <c r="F159">
        <f t="shared" si="6"/>
        <v>10.111820243819265</v>
      </c>
      <c r="G159">
        <f t="shared" si="6"/>
        <v>11.372510431074303</v>
      </c>
      <c r="K159">
        <v>19.007684707641602</v>
      </c>
      <c r="L159" s="15">
        <v>18.653224945068359</v>
      </c>
      <c r="M159" s="15">
        <v>18.493463516235352</v>
      </c>
      <c r="O159" s="11">
        <f t="shared" si="5"/>
        <v>11.372510431074303</v>
      </c>
      <c r="P159" s="11">
        <f>(L159-$D159)^2</f>
        <v>13.888852310060726</v>
      </c>
      <c r="Q159" s="11">
        <f>(M159-$D159)^2</f>
        <v>15.105165839633671</v>
      </c>
    </row>
    <row r="160" spans="1:17" x14ac:dyDescent="0.25">
      <c r="A160" s="3">
        <v>46187</v>
      </c>
      <c r="B160" s="4">
        <v>16</v>
      </c>
      <c r="C160" s="5">
        <v>19.102556957263261</v>
      </c>
      <c r="D160" s="6">
        <v>22.69</v>
      </c>
      <c r="E160">
        <v>19.43461990356445</v>
      </c>
      <c r="F160">
        <f t="shared" si="6"/>
        <v>12.869747584880244</v>
      </c>
      <c r="G160">
        <f t="shared" si="6"/>
        <v>10.597499572268742</v>
      </c>
      <c r="K160">
        <v>19.43461990356445</v>
      </c>
      <c r="L160" s="15">
        <v>19.130308151245121</v>
      </c>
      <c r="M160" s="15">
        <v>18.64195442199707</v>
      </c>
      <c r="O160" s="11">
        <f t="shared" si="5"/>
        <v>10.597499572268742</v>
      </c>
      <c r="P160" s="11">
        <f>(L160-$D160)^2</f>
        <v>12.671406058091939</v>
      </c>
      <c r="Q160" s="11">
        <f>(M160-$D160)^2</f>
        <v>16.386673001589084</v>
      </c>
    </row>
    <row r="161" spans="1:17" x14ac:dyDescent="0.25">
      <c r="A161" s="3">
        <v>46187</v>
      </c>
      <c r="B161" s="4">
        <v>17</v>
      </c>
      <c r="C161" s="5">
        <v>19.686743214727944</v>
      </c>
      <c r="D161" s="6">
        <v>22.42</v>
      </c>
      <c r="E161">
        <v>20.16663932800293</v>
      </c>
      <c r="F161">
        <f t="shared" si="6"/>
        <v>7.4706926542357444</v>
      </c>
      <c r="G161">
        <f t="shared" si="6"/>
        <v>5.0776343181030956</v>
      </c>
      <c r="K161">
        <v>20.16663932800293</v>
      </c>
      <c r="L161" s="15">
        <v>19.691286087036129</v>
      </c>
      <c r="M161" s="15">
        <v>19.11698150634766</v>
      </c>
      <c r="O161" s="11">
        <f t="shared" si="5"/>
        <v>5.0776343181030956</v>
      </c>
      <c r="P161" s="11">
        <f>(L161-$D161)^2</f>
        <v>7.445879618802608</v>
      </c>
      <c r="Q161" s="11">
        <f>(M161-$D161)^2</f>
        <v>10.909931169409386</v>
      </c>
    </row>
    <row r="162" spans="1:17" x14ac:dyDescent="0.25">
      <c r="A162" s="3">
        <v>46187</v>
      </c>
      <c r="B162" s="4">
        <v>18</v>
      </c>
      <c r="C162" s="5">
        <v>21.099383995808072</v>
      </c>
      <c r="D162" s="6">
        <v>24.04</v>
      </c>
      <c r="E162">
        <v>21.326974868774411</v>
      </c>
      <c r="F162">
        <f t="shared" si="6"/>
        <v>8.6472224841096956</v>
      </c>
      <c r="G162">
        <f t="shared" si="6"/>
        <v>7.3605053626616224</v>
      </c>
      <c r="K162">
        <v>21.326974868774411</v>
      </c>
      <c r="L162" s="15">
        <v>20.842414855957031</v>
      </c>
      <c r="M162" s="15">
        <v>19.756526947021481</v>
      </c>
      <c r="O162" s="11">
        <f t="shared" si="5"/>
        <v>7.3605053626616224</v>
      </c>
      <c r="P162" s="11">
        <f>(L162-$D162)^2</f>
        <v>10.224550753404287</v>
      </c>
      <c r="Q162" s="11">
        <f>(M162-$D162)^2</f>
        <v>18.348141395593107</v>
      </c>
    </row>
    <row r="163" spans="1:17" x14ac:dyDescent="0.25">
      <c r="A163" s="3">
        <v>46187</v>
      </c>
      <c r="B163" s="4">
        <v>19</v>
      </c>
      <c r="C163" s="5">
        <v>25.627409355715383</v>
      </c>
      <c r="D163" s="6">
        <v>28.99</v>
      </c>
      <c r="E163">
        <v>25.36628532409668</v>
      </c>
      <c r="F163">
        <f t="shared" si="6"/>
        <v>11.307015841030427</v>
      </c>
      <c r="G163">
        <f t="shared" si="6"/>
        <v>13.131308052357095</v>
      </c>
      <c r="K163">
        <v>25.36628532409668</v>
      </c>
      <c r="L163" s="15">
        <v>25.065944671630859</v>
      </c>
      <c r="M163" s="15">
        <v>23.372152328491211</v>
      </c>
      <c r="O163" s="11">
        <f t="shared" si="5"/>
        <v>13.131308052357095</v>
      </c>
      <c r="P163" s="11">
        <f>(L163-$D163)^2</f>
        <v>15.398210220102232</v>
      </c>
      <c r="Q163" s="11">
        <f>(M163-$D163)^2</f>
        <v>31.560212460276706</v>
      </c>
    </row>
    <row r="164" spans="1:17" x14ac:dyDescent="0.25">
      <c r="A164" s="3">
        <v>46187</v>
      </c>
      <c r="B164" s="4">
        <v>20</v>
      </c>
      <c r="C164" s="5">
        <v>28.519063088716692</v>
      </c>
      <c r="D164" s="6">
        <v>31.49</v>
      </c>
      <c r="E164">
        <v>28.44904708862305</v>
      </c>
      <c r="F164">
        <f t="shared" si="6"/>
        <v>8.8264661308255938</v>
      </c>
      <c r="G164">
        <f t="shared" si="6"/>
        <v>9.2473946092119359</v>
      </c>
      <c r="K164">
        <v>28.44904708862305</v>
      </c>
      <c r="L164" s="15">
        <v>28.277292251586911</v>
      </c>
      <c r="M164" s="15">
        <v>26.99455451965332</v>
      </c>
      <c r="O164" s="11">
        <f t="shared" si="5"/>
        <v>9.2473946092119359</v>
      </c>
      <c r="P164" s="11">
        <f>(L164-$D164)^2</f>
        <v>10.321491076713492</v>
      </c>
      <c r="Q164" s="11">
        <f>(M164-$D164)^2</f>
        <v>20.209030066769376</v>
      </c>
    </row>
    <row r="165" spans="1:17" x14ac:dyDescent="0.25">
      <c r="A165" s="3">
        <v>46187</v>
      </c>
      <c r="B165" s="4">
        <v>21</v>
      </c>
      <c r="C165" s="5">
        <v>28.14257376311075</v>
      </c>
      <c r="D165" s="6">
        <v>29.92</v>
      </c>
      <c r="E165">
        <v>28.435247421264648</v>
      </c>
      <c r="F165">
        <f t="shared" si="6"/>
        <v>3.1592440275822855</v>
      </c>
      <c r="G165">
        <f t="shared" si="6"/>
        <v>2.2044902200612815</v>
      </c>
      <c r="K165">
        <v>28.435247421264648</v>
      </c>
      <c r="L165" s="15">
        <v>28.493890762329102</v>
      </c>
      <c r="M165" s="15">
        <v>27.477632522583011</v>
      </c>
      <c r="O165" s="11">
        <f t="shared" si="5"/>
        <v>2.2044902200612815</v>
      </c>
      <c r="P165" s="11">
        <f>(L165-$D165)^2</f>
        <v>2.033787557770276</v>
      </c>
      <c r="Q165" s="11">
        <f>(M165-$D165)^2</f>
        <v>5.9651588947442331</v>
      </c>
    </row>
    <row r="166" spans="1:17" x14ac:dyDescent="0.25">
      <c r="A166" s="3">
        <v>46187</v>
      </c>
      <c r="B166" s="4">
        <v>22</v>
      </c>
      <c r="C166" s="5">
        <v>23.937322083514651</v>
      </c>
      <c r="D166" s="6">
        <v>25.56</v>
      </c>
      <c r="E166">
        <v>24.963319778442379</v>
      </c>
      <c r="F166">
        <f t="shared" si="6"/>
        <v>2.6330836206492285</v>
      </c>
      <c r="G166">
        <f t="shared" si="6"/>
        <v>0.35602728679804985</v>
      </c>
      <c r="K166">
        <v>24.963319778442379</v>
      </c>
      <c r="L166" s="15">
        <v>25.15706634521484</v>
      </c>
      <c r="M166" s="15">
        <v>24.4050178527832</v>
      </c>
      <c r="O166" s="11">
        <f t="shared" si="5"/>
        <v>0.35602728679804985</v>
      </c>
      <c r="P166" s="11">
        <f>(L166-$D166)^2</f>
        <v>0.1623555301585253</v>
      </c>
      <c r="Q166" s="11">
        <f>(M166-$D166)^2</f>
        <v>1.3339837603895279</v>
      </c>
    </row>
    <row r="167" spans="1:17" x14ac:dyDescent="0.25">
      <c r="A167" s="3">
        <v>46187</v>
      </c>
      <c r="B167" s="4">
        <v>23</v>
      </c>
      <c r="C167" s="5">
        <v>15.4933131454818</v>
      </c>
      <c r="D167" s="6">
        <v>18.04</v>
      </c>
      <c r="E167">
        <v>16.714963912963871</v>
      </c>
      <c r="F167">
        <f t="shared" si="6"/>
        <v>6.4856139349758015</v>
      </c>
      <c r="G167">
        <f t="shared" si="6"/>
        <v>1.7557206319480145</v>
      </c>
      <c r="K167">
        <v>16.714963912963871</v>
      </c>
      <c r="L167" s="15">
        <v>16.654581069946289</v>
      </c>
      <c r="M167" s="15">
        <v>17.05196380615234</v>
      </c>
      <c r="O167" s="11">
        <f t="shared" si="5"/>
        <v>1.7557206319480145</v>
      </c>
      <c r="P167" s="11">
        <f>(L167-$D167)^2</f>
        <v>1.9193856117511667</v>
      </c>
      <c r="Q167" s="11">
        <f>(M167-$D167)^2</f>
        <v>0.97621552035296866</v>
      </c>
    </row>
    <row r="168" spans="1:17" x14ac:dyDescent="0.25">
      <c r="A168" s="3">
        <v>46187</v>
      </c>
      <c r="B168" s="4">
        <v>24</v>
      </c>
      <c r="C168" s="5">
        <v>8.8289994847879001</v>
      </c>
      <c r="D168" s="6">
        <v>9.84</v>
      </c>
      <c r="E168">
        <v>9.3032655715942383</v>
      </c>
      <c r="F168">
        <f t="shared" si="6"/>
        <v>1.0221220417591312</v>
      </c>
      <c r="G168">
        <f t="shared" si="6"/>
        <v>0.28808384663605963</v>
      </c>
      <c r="K168">
        <v>9.3032655715942383</v>
      </c>
      <c r="L168" s="15">
        <v>9.5171031951904297</v>
      </c>
      <c r="M168" s="15">
        <v>9.5486793518066406</v>
      </c>
      <c r="O168" s="11">
        <f t="shared" si="5"/>
        <v>0.28808384663605963</v>
      </c>
      <c r="P168" s="11">
        <f>(L168-$D168)^2</f>
        <v>0.10426234655622965</v>
      </c>
      <c r="Q168" s="11">
        <f>(M168-$D168)^2</f>
        <v>8.4867720063798974E-2</v>
      </c>
    </row>
    <row r="169" spans="1:17" x14ac:dyDescent="0.25">
      <c r="A169" s="3">
        <v>46187</v>
      </c>
      <c r="B169" s="4">
        <v>25</v>
      </c>
      <c r="C169" s="5">
        <v>5.4231561215019104</v>
      </c>
      <c r="D169" s="6">
        <v>5.72</v>
      </c>
      <c r="E169">
        <v>5.438331127166748</v>
      </c>
      <c r="F169">
        <f t="shared" si="6"/>
        <v>8.8116288201788434E-2</v>
      </c>
      <c r="G169">
        <f t="shared" si="6"/>
        <v>7.9337353923154524E-2</v>
      </c>
      <c r="K169">
        <v>5.438331127166748</v>
      </c>
      <c r="L169" s="15">
        <v>5.6363077163696289</v>
      </c>
      <c r="M169" s="15">
        <v>5.9873380661010742</v>
      </c>
      <c r="O169" s="11">
        <f t="shared" si="5"/>
        <v>7.9337353923154524E-2</v>
      </c>
      <c r="P169" s="11">
        <f>(L169-$D169)^2</f>
        <v>7.0043983392664398E-3</v>
      </c>
      <c r="Q169" s="11">
        <f>(M169-$D169)^2</f>
        <v>7.1469641586662455E-2</v>
      </c>
    </row>
    <row r="170" spans="1:17" x14ac:dyDescent="0.25">
      <c r="A170" s="3">
        <v>46187</v>
      </c>
      <c r="B170" s="4">
        <v>26</v>
      </c>
      <c r="C170" s="5">
        <v>3.2486838047519404</v>
      </c>
      <c r="D170" s="6">
        <v>3.99</v>
      </c>
      <c r="E170">
        <v>3.5037317276000981</v>
      </c>
      <c r="F170">
        <f t="shared" si="6"/>
        <v>0.54954970133705949</v>
      </c>
      <c r="G170">
        <f t="shared" si="6"/>
        <v>0.23645683274278539</v>
      </c>
      <c r="K170">
        <v>3.5037317276000981</v>
      </c>
      <c r="L170" s="15">
        <v>3.6555695533752441</v>
      </c>
      <c r="M170" s="15">
        <v>3.997227668762207</v>
      </c>
      <c r="O170" s="11">
        <f t="shared" si="5"/>
        <v>0.23645683274278539</v>
      </c>
      <c r="P170" s="11">
        <f>(L170-$D170)^2</f>
        <v>0.11184372362963382</v>
      </c>
      <c r="Q170" s="11">
        <f>(M170-$D170)^2</f>
        <v>5.223919573618024E-5</v>
      </c>
    </row>
    <row r="171" spans="1:17" x14ac:dyDescent="0.25">
      <c r="A171" s="3">
        <v>46187</v>
      </c>
      <c r="B171" s="4">
        <v>27</v>
      </c>
      <c r="C171" s="5">
        <v>2.2739203524157467</v>
      </c>
      <c r="D171" s="6">
        <v>2.4500000000000002</v>
      </c>
      <c r="E171">
        <v>2.4277224540710449</v>
      </c>
      <c r="F171">
        <f t="shared" si="6"/>
        <v>3.1004042293394884E-2</v>
      </c>
      <c r="G171">
        <f t="shared" si="6"/>
        <v>4.9628905261671092E-4</v>
      </c>
      <c r="K171">
        <v>2.4277224540710449</v>
      </c>
      <c r="L171" s="15">
        <v>2.5201096534728999</v>
      </c>
      <c r="M171" s="15">
        <v>2.776868343353271</v>
      </c>
      <c r="O171" s="11">
        <f t="shared" si="5"/>
        <v>4.9628905261671092E-4</v>
      </c>
      <c r="P171" s="11">
        <f>(L171-$D171)^2</f>
        <v>4.9153635100900863E-3</v>
      </c>
      <c r="Q171" s="11">
        <f>(M171-$D171)^2</f>
        <v>0.10684291388651178</v>
      </c>
    </row>
    <row r="172" spans="1:17" x14ac:dyDescent="0.25">
      <c r="A172" s="3">
        <v>46187</v>
      </c>
      <c r="B172" s="4">
        <v>28</v>
      </c>
      <c r="C172" s="5">
        <v>1.8929667338812863</v>
      </c>
      <c r="D172" s="6">
        <v>2.0299999999999998</v>
      </c>
      <c r="E172">
        <v>2.014229297637939</v>
      </c>
      <c r="F172">
        <f t="shared" si="6"/>
        <v>1.8778116023162147E-2</v>
      </c>
      <c r="G172">
        <f t="shared" si="6"/>
        <v>2.4871505299270993E-4</v>
      </c>
      <c r="K172">
        <v>2.014229297637939</v>
      </c>
      <c r="L172" s="15">
        <v>2.023902416229248</v>
      </c>
      <c r="M172" s="15">
        <v>2.3252513408660889</v>
      </c>
      <c r="O172" s="11">
        <f t="shared" si="5"/>
        <v>2.4871505299270993E-4</v>
      </c>
      <c r="P172" s="11">
        <f>(L172-$D172)^2</f>
        <v>3.7180527841335222E-5</v>
      </c>
      <c r="Q172" s="11">
        <f>(M172-$D172)^2</f>
        <v>8.7173354283223509E-2</v>
      </c>
    </row>
    <row r="173" spans="1:17" x14ac:dyDescent="0.25">
      <c r="A173" s="7">
        <v>46187</v>
      </c>
      <c r="B173" s="4">
        <v>29</v>
      </c>
      <c r="C173" s="5">
        <v>2.3176717313483026</v>
      </c>
      <c r="D173" s="6">
        <v>2.65</v>
      </c>
      <c r="E173">
        <v>2.368956565856934</v>
      </c>
      <c r="F173">
        <f t="shared" si="6"/>
        <v>0.11044207814503469</v>
      </c>
      <c r="G173">
        <f t="shared" si="6"/>
        <v>7.8985411874927802E-2</v>
      </c>
      <c r="K173">
        <v>2.368956565856934</v>
      </c>
      <c r="L173" s="15">
        <v>2.2562911510467529</v>
      </c>
      <c r="M173" s="15">
        <v>2.6747393608093262</v>
      </c>
      <c r="O173" s="11">
        <f t="shared" si="5"/>
        <v>7.8985411874927802E-2</v>
      </c>
      <c r="P173" s="11">
        <f>(L173-$D173)^2</f>
        <v>0.15500665774409064</v>
      </c>
      <c r="Q173" s="11">
        <f>(M173-$D173)^2</f>
        <v>6.1203597325402807E-4</v>
      </c>
    </row>
    <row r="174" spans="1:17" x14ac:dyDescent="0.25">
      <c r="A174" s="3">
        <v>46188</v>
      </c>
      <c r="B174" s="4">
        <v>6</v>
      </c>
      <c r="C174" s="5">
        <v>4.0000849541166623</v>
      </c>
      <c r="D174" s="6">
        <v>4.34</v>
      </c>
      <c r="E174">
        <v>3.8463172912597661</v>
      </c>
      <c r="F174">
        <f t="shared" si="6"/>
        <v>0.11554223841787147</v>
      </c>
      <c r="G174">
        <f t="shared" si="6"/>
        <v>0.2437226169090945</v>
      </c>
      <c r="K174">
        <v>3.8463172912597661</v>
      </c>
      <c r="L174" s="15">
        <v>3.6814241409301758</v>
      </c>
      <c r="M174" s="15">
        <v>3.838135719299316</v>
      </c>
      <c r="O174" s="11">
        <f t="shared" si="5"/>
        <v>0.2437226169090945</v>
      </c>
      <c r="P174" s="11">
        <f>(L174-$D174)^2</f>
        <v>0.43372216214955678</v>
      </c>
      <c r="Q174" s="11">
        <f>(M174-$D174)^2</f>
        <v>0.25186775624321484</v>
      </c>
    </row>
    <row r="175" spans="1:17" x14ac:dyDescent="0.25">
      <c r="A175" s="3">
        <v>46188</v>
      </c>
      <c r="B175" s="4">
        <v>7</v>
      </c>
      <c r="C175" s="5">
        <v>5.8069881202293026</v>
      </c>
      <c r="D175" s="6">
        <v>6.23</v>
      </c>
      <c r="E175">
        <v>5.5362658500671387</v>
      </c>
      <c r="F175">
        <f t="shared" si="6"/>
        <v>0.17893905042713934</v>
      </c>
      <c r="G175">
        <f t="shared" si="6"/>
        <v>0.48126707078307029</v>
      </c>
      <c r="K175">
        <v>5.5362658500671387</v>
      </c>
      <c r="L175" s="15">
        <v>5.4042391777038574</v>
      </c>
      <c r="M175" s="15">
        <v>5.6051778793334961</v>
      </c>
      <c r="O175" s="11">
        <f t="shared" si="5"/>
        <v>0.48126707078307029</v>
      </c>
      <c r="P175" s="11">
        <f>(L175-$D175)^2</f>
        <v>0.68188093563920227</v>
      </c>
      <c r="Q175" s="11">
        <f>(M175-$D175)^2</f>
        <v>0.39040268247418769</v>
      </c>
    </row>
    <row r="176" spans="1:17" x14ac:dyDescent="0.25">
      <c r="A176" s="3">
        <v>46188</v>
      </c>
      <c r="B176" s="4">
        <v>8</v>
      </c>
      <c r="C176" s="5">
        <v>7.5676932842453946</v>
      </c>
      <c r="D176" s="6">
        <v>7.91</v>
      </c>
      <c r="E176">
        <v>7.3317956924438477</v>
      </c>
      <c r="F176">
        <f t="shared" si="6"/>
        <v>0.11717388765070434</v>
      </c>
      <c r="G176">
        <f t="shared" si="6"/>
        <v>0.33432022127648975</v>
      </c>
      <c r="K176">
        <v>7.3317956924438477</v>
      </c>
      <c r="L176" s="15">
        <v>7.2439785003662109</v>
      </c>
      <c r="M176" s="15">
        <v>7.3328723907470703</v>
      </c>
      <c r="O176" s="11">
        <f t="shared" si="5"/>
        <v>0.33432022127648975</v>
      </c>
      <c r="P176" s="11">
        <f>(L176-$D176)^2</f>
        <v>0.44358463797444148</v>
      </c>
      <c r="Q176" s="11">
        <f>(M176-$D176)^2</f>
        <v>0.33307627736200246</v>
      </c>
    </row>
    <row r="177" spans="1:17" x14ac:dyDescent="0.25">
      <c r="A177" s="3">
        <v>46188</v>
      </c>
      <c r="B177" s="4">
        <v>9</v>
      </c>
      <c r="C177" s="5">
        <v>8.7615014692636617</v>
      </c>
      <c r="D177" s="6">
        <v>9.01</v>
      </c>
      <c r="E177">
        <v>8.6370382308959961</v>
      </c>
      <c r="F177">
        <f t="shared" si="6"/>
        <v>6.1751519778118769E-2</v>
      </c>
      <c r="G177">
        <f t="shared" si="6"/>
        <v>0.13910048121318816</v>
      </c>
      <c r="K177">
        <v>8.6370382308959961</v>
      </c>
      <c r="L177" s="15">
        <v>8.4913511276245117</v>
      </c>
      <c r="M177" s="15">
        <v>8.3792037963867188</v>
      </c>
      <c r="O177" s="11">
        <f t="shared" si="5"/>
        <v>0.13910048121318816</v>
      </c>
      <c r="P177" s="11">
        <f>(L177-$D177)^2</f>
        <v>0.26899665281636531</v>
      </c>
      <c r="Q177" s="11">
        <f>(M177-$D177)^2</f>
        <v>0.39790385049292792</v>
      </c>
    </row>
    <row r="178" spans="1:17" x14ac:dyDescent="0.25">
      <c r="A178" s="3">
        <v>46188</v>
      </c>
      <c r="B178" s="4">
        <v>10</v>
      </c>
      <c r="C178" s="5">
        <v>9.1697996996309694</v>
      </c>
      <c r="D178" s="6">
        <v>9.48</v>
      </c>
      <c r="E178">
        <v>9.0054302215576172</v>
      </c>
      <c r="F178">
        <f t="shared" si="6"/>
        <v>9.6224226349037059E-2</v>
      </c>
      <c r="G178">
        <f t="shared" si="6"/>
        <v>0.2252164746108527</v>
      </c>
      <c r="K178">
        <v>9.0054302215576172</v>
      </c>
      <c r="L178" s="15">
        <v>8.8852338790893555</v>
      </c>
      <c r="M178" s="15">
        <v>8.732487678527832</v>
      </c>
      <c r="O178" s="11">
        <f t="shared" si="5"/>
        <v>0.2252164746108527</v>
      </c>
      <c r="P178" s="11">
        <f>(L178-$D178)^2</f>
        <v>0.35374673858309591</v>
      </c>
      <c r="Q178" s="11">
        <f>(M178-$D178)^2</f>
        <v>0.55877467075271048</v>
      </c>
    </row>
    <row r="179" spans="1:17" x14ac:dyDescent="0.25">
      <c r="A179" s="3">
        <v>46188</v>
      </c>
      <c r="B179" s="4">
        <v>11</v>
      </c>
      <c r="C179" s="5">
        <v>9.4792255703710868</v>
      </c>
      <c r="D179" s="6">
        <v>10.37</v>
      </c>
      <c r="E179">
        <v>8.9760208129882813</v>
      </c>
      <c r="F179">
        <f t="shared" si="6"/>
        <v>0.79347908448071425</v>
      </c>
      <c r="G179">
        <f t="shared" si="6"/>
        <v>1.9431779738218502</v>
      </c>
      <c r="K179">
        <v>8.9760208129882813</v>
      </c>
      <c r="L179" s="15">
        <v>8.9096879959106445</v>
      </c>
      <c r="M179" s="15">
        <v>8.6191167831420898</v>
      </c>
      <c r="O179" s="11">
        <f t="shared" si="5"/>
        <v>1.9431779738218502</v>
      </c>
      <c r="P179" s="11">
        <f>(L179-$D179)^2</f>
        <v>2.1325111492874673</v>
      </c>
      <c r="Q179" s="11">
        <f>(M179-$D179)^2</f>
        <v>3.0655920390747009</v>
      </c>
    </row>
    <row r="180" spans="1:17" x14ac:dyDescent="0.25">
      <c r="A180" s="3">
        <v>46188</v>
      </c>
      <c r="B180" s="4">
        <v>12</v>
      </c>
      <c r="C180" s="5">
        <v>9.3992066010075952</v>
      </c>
      <c r="D180" s="6">
        <v>10.97</v>
      </c>
      <c r="E180">
        <v>8.9156789779663086</v>
      </c>
      <c r="F180">
        <f t="shared" si="6"/>
        <v>2.4673919023181141</v>
      </c>
      <c r="G180">
        <f t="shared" si="6"/>
        <v>4.2202348615695531</v>
      </c>
      <c r="K180">
        <v>8.9156789779663086</v>
      </c>
      <c r="L180" s="15">
        <v>8.9415159225463867</v>
      </c>
      <c r="M180" s="15">
        <v>8.4348411560058594</v>
      </c>
      <c r="O180" s="11">
        <f t="shared" si="5"/>
        <v>4.2202348615695531</v>
      </c>
      <c r="P180" s="11">
        <f>(L180-$D180)^2</f>
        <v>4.1147476524828388</v>
      </c>
      <c r="Q180" s="11">
        <f>(M180-$D180)^2</f>
        <v>6.4270303642817108</v>
      </c>
    </row>
    <row r="181" spans="1:17" x14ac:dyDescent="0.25">
      <c r="A181" s="3">
        <v>46188</v>
      </c>
      <c r="B181" s="4">
        <v>13</v>
      </c>
      <c r="C181" s="5">
        <v>9.7692223748089173</v>
      </c>
      <c r="D181" s="6">
        <v>11.49</v>
      </c>
      <c r="E181">
        <v>9.2000389099121094</v>
      </c>
      <c r="F181">
        <f t="shared" si="6"/>
        <v>2.961075635358263</v>
      </c>
      <c r="G181">
        <f t="shared" si="6"/>
        <v>5.2439217941165213</v>
      </c>
      <c r="K181">
        <v>9.2000389099121094</v>
      </c>
      <c r="L181" s="15">
        <v>9.1661777496337891</v>
      </c>
      <c r="M181" s="15">
        <v>8.6537008285522461</v>
      </c>
      <c r="O181" s="11">
        <f t="shared" si="5"/>
        <v>5.2439217941165213</v>
      </c>
      <c r="P181" s="11">
        <f>(L181-$D181)^2</f>
        <v>5.4001498512970816</v>
      </c>
      <c r="Q181" s="11">
        <f>(M181-$D181)^2</f>
        <v>8.0445929899552162</v>
      </c>
    </row>
    <row r="182" spans="1:17" x14ac:dyDescent="0.25">
      <c r="A182" s="3">
        <v>46188</v>
      </c>
      <c r="B182" s="4">
        <v>14</v>
      </c>
      <c r="C182" s="5">
        <v>10.784530690542741</v>
      </c>
      <c r="D182" s="6">
        <v>11.79</v>
      </c>
      <c r="E182">
        <v>10.127823829650881</v>
      </c>
      <c r="F182">
        <f t="shared" si="6"/>
        <v>1.0109685322604547</v>
      </c>
      <c r="G182">
        <f t="shared" si="6"/>
        <v>2.7628296212764618</v>
      </c>
      <c r="K182">
        <v>10.127823829650881</v>
      </c>
      <c r="L182" s="15">
        <v>10.14539051055908</v>
      </c>
      <c r="M182" s="15">
        <v>9.6854057312011719</v>
      </c>
      <c r="O182" s="11">
        <f t="shared" si="5"/>
        <v>2.7628296212764618</v>
      </c>
      <c r="P182" s="11">
        <f>(L182-$D182)^2</f>
        <v>2.7047403727591197</v>
      </c>
      <c r="Q182" s="11">
        <f>(M182-$D182)^2</f>
        <v>4.42931703626087</v>
      </c>
    </row>
    <row r="183" spans="1:17" x14ac:dyDescent="0.25">
      <c r="A183" s="3">
        <v>46188</v>
      </c>
      <c r="B183" s="4">
        <v>15</v>
      </c>
      <c r="C183" s="5">
        <v>12.21341330753752</v>
      </c>
      <c r="D183" s="6">
        <v>12.99</v>
      </c>
      <c r="E183">
        <v>11.590436935424799</v>
      </c>
      <c r="F183">
        <f t="shared" si="6"/>
        <v>0.60308689090981482</v>
      </c>
      <c r="G183">
        <f t="shared" si="6"/>
        <v>1.9587767717231279</v>
      </c>
      <c r="K183">
        <v>11.590436935424799</v>
      </c>
      <c r="L183" s="15">
        <v>11.880166053771971</v>
      </c>
      <c r="M183" s="15">
        <v>11.22181224822998</v>
      </c>
      <c r="O183" s="11">
        <f t="shared" si="5"/>
        <v>1.9587767717231279</v>
      </c>
      <c r="P183" s="11">
        <f>(L183-$D183)^2</f>
        <v>1.2317313882000802</v>
      </c>
      <c r="Q183" s="11">
        <f>(M183-$D183)^2</f>
        <v>3.126487925509517</v>
      </c>
    </row>
    <row r="184" spans="1:17" x14ac:dyDescent="0.25">
      <c r="A184" s="3">
        <v>46188</v>
      </c>
      <c r="B184" s="4">
        <v>16</v>
      </c>
      <c r="C184" s="5">
        <v>14.462447184805182</v>
      </c>
      <c r="D184" s="6">
        <v>14.91</v>
      </c>
      <c r="E184">
        <v>13.85908222198486</v>
      </c>
      <c r="F184">
        <f t="shared" si="6"/>
        <v>0.20030352238880716</v>
      </c>
      <c r="G184">
        <f t="shared" si="6"/>
        <v>1.1044281761482799</v>
      </c>
      <c r="K184">
        <v>13.85908222198486</v>
      </c>
      <c r="L184" s="15">
        <v>14.20624446868896</v>
      </c>
      <c r="M184" s="15">
        <v>13.25723075866699</v>
      </c>
      <c r="O184" s="11">
        <f t="shared" si="5"/>
        <v>1.1044281761482799</v>
      </c>
      <c r="P184" s="11">
        <f>(L184-$D184)^2</f>
        <v>0.49527184785088507</v>
      </c>
      <c r="Q184" s="11">
        <f>(M184-$D184)^2</f>
        <v>2.7316461650964925</v>
      </c>
    </row>
    <row r="185" spans="1:17" x14ac:dyDescent="0.25">
      <c r="A185" s="3">
        <v>46188</v>
      </c>
      <c r="B185" s="4">
        <v>17</v>
      </c>
      <c r="C185" s="5">
        <v>16.618394246633443</v>
      </c>
      <c r="D185" s="6">
        <v>17.649999999999999</v>
      </c>
      <c r="E185">
        <v>15.705276489257811</v>
      </c>
      <c r="F185">
        <f t="shared" si="6"/>
        <v>1.064210430378979</v>
      </c>
      <c r="G185">
        <f t="shared" si="6"/>
        <v>3.7819495332334205</v>
      </c>
      <c r="K185">
        <v>15.705276489257811</v>
      </c>
      <c r="L185" s="15">
        <v>16.040718078613281</v>
      </c>
      <c r="M185" s="15">
        <v>15.165731430053709</v>
      </c>
      <c r="O185" s="11">
        <f t="shared" si="5"/>
        <v>3.7819495332334205</v>
      </c>
      <c r="P185" s="11">
        <f>(L185-$D185)^2</f>
        <v>2.5897883025021247</v>
      </c>
      <c r="Q185" s="11">
        <f>(M185-$D185)^2</f>
        <v>6.1715903276229822</v>
      </c>
    </row>
    <row r="186" spans="1:17" x14ac:dyDescent="0.25">
      <c r="A186" s="3">
        <v>46188</v>
      </c>
      <c r="B186" s="4">
        <v>18</v>
      </c>
      <c r="C186" s="5">
        <v>18.915556079917014</v>
      </c>
      <c r="D186" s="6">
        <v>21.34</v>
      </c>
      <c r="E186">
        <v>18.486721038818359</v>
      </c>
      <c r="F186">
        <f t="shared" si="6"/>
        <v>5.8779283216273557</v>
      </c>
      <c r="G186">
        <f t="shared" si="6"/>
        <v>8.1412008303217807</v>
      </c>
      <c r="K186">
        <v>18.486721038818359</v>
      </c>
      <c r="L186" s="15">
        <v>19.040763854980469</v>
      </c>
      <c r="M186" s="15">
        <v>17.77542877197266</v>
      </c>
      <c r="O186" s="11">
        <f t="shared" si="5"/>
        <v>8.1412008303217807</v>
      </c>
      <c r="P186" s="11">
        <f>(L186-$D186)^2</f>
        <v>5.2864868505642741</v>
      </c>
      <c r="Q186" s="11">
        <f>(M186-$D186)^2</f>
        <v>12.706168039680339</v>
      </c>
    </row>
    <row r="187" spans="1:17" x14ac:dyDescent="0.25">
      <c r="A187" s="3">
        <v>46188</v>
      </c>
      <c r="B187" s="4">
        <v>19</v>
      </c>
      <c r="C187" s="5">
        <v>23.263824294071618</v>
      </c>
      <c r="D187" s="6">
        <v>25.51</v>
      </c>
      <c r="E187">
        <v>22.19291877746582</v>
      </c>
      <c r="F187">
        <f t="shared" si="6"/>
        <v>5.0453053019028715</v>
      </c>
      <c r="G187">
        <f t="shared" si="6"/>
        <v>11.003027836888858</v>
      </c>
      <c r="K187">
        <v>22.19291877746582</v>
      </c>
      <c r="L187" s="15">
        <v>22.876016616821289</v>
      </c>
      <c r="M187" s="15">
        <v>20.978847503662109</v>
      </c>
      <c r="O187" s="11">
        <f t="shared" si="5"/>
        <v>11.003027836888858</v>
      </c>
      <c r="P187" s="11">
        <f>(L187-$D187)^2</f>
        <v>6.9378684628615765</v>
      </c>
      <c r="Q187" s="11">
        <f>(M187-$D187)^2</f>
        <v>20.531342945069113</v>
      </c>
    </row>
    <row r="188" spans="1:17" x14ac:dyDescent="0.25">
      <c r="A188" s="3">
        <v>46188</v>
      </c>
      <c r="B188" s="4">
        <v>20</v>
      </c>
      <c r="C188" s="5">
        <v>25.252328784126579</v>
      </c>
      <c r="D188" s="6">
        <v>26.16</v>
      </c>
      <c r="E188">
        <v>24.904623031616211</v>
      </c>
      <c r="F188">
        <f t="shared" si="6"/>
        <v>0.82386703612513446</v>
      </c>
      <c r="G188">
        <f t="shared" si="6"/>
        <v>1.5759713327484732</v>
      </c>
      <c r="K188">
        <v>24.904623031616211</v>
      </c>
      <c r="L188" s="15">
        <v>25.000827789306641</v>
      </c>
      <c r="M188" s="15">
        <v>23.3719482421875</v>
      </c>
      <c r="O188" s="11">
        <f t="shared" si="5"/>
        <v>1.5759713327484732</v>
      </c>
      <c r="P188" s="11">
        <f>(L188-$D188)^2</f>
        <v>1.3436802140437303</v>
      </c>
      <c r="Q188" s="11">
        <f>(M188-$D188)^2</f>
        <v>7.7732326042413717</v>
      </c>
    </row>
    <row r="189" spans="1:17" x14ac:dyDescent="0.25">
      <c r="A189" s="3">
        <v>46188</v>
      </c>
      <c r="B189" s="4">
        <v>21</v>
      </c>
      <c r="C189" s="5">
        <v>25.801746799402824</v>
      </c>
      <c r="D189" s="6">
        <v>27.27</v>
      </c>
      <c r="E189">
        <v>26.56937217712402</v>
      </c>
      <c r="F189">
        <f t="shared" si="6"/>
        <v>2.1557674610638484</v>
      </c>
      <c r="G189">
        <f t="shared" si="6"/>
        <v>0.49087934618793516</v>
      </c>
      <c r="K189">
        <v>26.56937217712402</v>
      </c>
      <c r="L189" s="15">
        <v>26.458478927612301</v>
      </c>
      <c r="M189" s="15">
        <v>25.344589233398441</v>
      </c>
      <c r="O189" s="11">
        <f t="shared" si="5"/>
        <v>0.49087934618793516</v>
      </c>
      <c r="P189" s="11">
        <f>(L189-$D189)^2</f>
        <v>0.65856645092928012</v>
      </c>
      <c r="Q189" s="11">
        <f>(M189-$D189)^2</f>
        <v>3.7072066201452012</v>
      </c>
    </row>
    <row r="190" spans="1:17" x14ac:dyDescent="0.25">
      <c r="A190" s="3">
        <v>46188</v>
      </c>
      <c r="B190" s="4">
        <v>22</v>
      </c>
      <c r="C190" s="5">
        <v>22.158346401223927</v>
      </c>
      <c r="D190" s="6">
        <v>24.15</v>
      </c>
      <c r="E190">
        <v>23.455690383911129</v>
      </c>
      <c r="F190">
        <f t="shared" si="6"/>
        <v>3.9666840575176776</v>
      </c>
      <c r="G190">
        <f t="shared" si="6"/>
        <v>0.4820658429934731</v>
      </c>
      <c r="K190">
        <v>23.455690383911129</v>
      </c>
      <c r="L190" s="15">
        <v>23.46745491027832</v>
      </c>
      <c r="M190" s="15">
        <v>22.687917709350589</v>
      </c>
      <c r="O190" s="11">
        <f t="shared" si="5"/>
        <v>0.4820658429934731</v>
      </c>
      <c r="P190" s="11">
        <f>(L190-$D190)^2</f>
        <v>0.46586779950317381</v>
      </c>
      <c r="Q190" s="11">
        <f>(M190-$D190)^2</f>
        <v>2.1376846246306234</v>
      </c>
    </row>
    <row r="191" spans="1:17" x14ac:dyDescent="0.25">
      <c r="A191" s="3">
        <v>46188</v>
      </c>
      <c r="B191" s="4">
        <v>23</v>
      </c>
      <c r="C191" s="5">
        <v>14.523011182444648</v>
      </c>
      <c r="D191" s="6">
        <v>15.28</v>
      </c>
      <c r="E191">
        <v>14.9350118637085</v>
      </c>
      <c r="F191">
        <f t="shared" si="6"/>
        <v>0.57303206990384881</v>
      </c>
      <c r="G191">
        <f t="shared" si="6"/>
        <v>0.11901681418188238</v>
      </c>
      <c r="K191">
        <v>14.9350118637085</v>
      </c>
      <c r="L191" s="15">
        <v>15.039018630981451</v>
      </c>
      <c r="M191" s="15">
        <v>14.94509792327881</v>
      </c>
      <c r="O191" s="11">
        <f t="shared" si="5"/>
        <v>0.11901681418188238</v>
      </c>
      <c r="P191" s="11">
        <f>(L191-$D191)^2</f>
        <v>5.807202021405395E-2</v>
      </c>
      <c r="Q191" s="11">
        <f>(M191-$D191)^2</f>
        <v>0.11215940099216516</v>
      </c>
    </row>
    <row r="192" spans="1:17" x14ac:dyDescent="0.25">
      <c r="A192" s="3">
        <v>46188</v>
      </c>
      <c r="B192" s="4">
        <v>24</v>
      </c>
      <c r="C192" s="5">
        <v>8.4140809799768501</v>
      </c>
      <c r="D192" s="6">
        <v>9.6</v>
      </c>
      <c r="E192">
        <v>9.1360263824462891</v>
      </c>
      <c r="F192">
        <f t="shared" si="6"/>
        <v>1.4064039220526674</v>
      </c>
      <c r="G192">
        <f t="shared" si="6"/>
        <v>0.21527151778587689</v>
      </c>
      <c r="K192">
        <v>9.1360263824462891</v>
      </c>
      <c r="L192" s="15">
        <v>9.1757516860961914</v>
      </c>
      <c r="M192" s="15">
        <v>9.5973234176635742</v>
      </c>
      <c r="O192" s="11">
        <f t="shared" si="5"/>
        <v>0.21527151778587689</v>
      </c>
      <c r="P192" s="11">
        <f>(L192-$D192)^2</f>
        <v>0.1799866318502242</v>
      </c>
      <c r="Q192" s="11">
        <f>(M192-$D192)^2</f>
        <v>7.1640930036645921E-6</v>
      </c>
    </row>
    <row r="193" spans="1:17" x14ac:dyDescent="0.25">
      <c r="A193" s="3">
        <v>46188</v>
      </c>
      <c r="B193" s="4">
        <v>25</v>
      </c>
      <c r="C193" s="5">
        <v>5.1271147186589241</v>
      </c>
      <c r="D193" s="6">
        <v>6.25</v>
      </c>
      <c r="E193">
        <v>5.5405726432800293</v>
      </c>
      <c r="F193">
        <f t="shared" si="6"/>
        <v>1.2608713550524271</v>
      </c>
      <c r="G193">
        <f t="shared" si="6"/>
        <v>0.50328717446268456</v>
      </c>
      <c r="K193">
        <v>5.5405726432800293</v>
      </c>
      <c r="L193" s="15">
        <v>5.4891815185546884</v>
      </c>
      <c r="M193" s="15">
        <v>6.1456699371337891</v>
      </c>
      <c r="O193" s="11">
        <f t="shared" si="5"/>
        <v>0.50328717446268456</v>
      </c>
      <c r="P193" s="11">
        <f>(L193-$D193)^2</f>
        <v>0.57884476170874999</v>
      </c>
      <c r="Q193" s="11">
        <f>(M193-$D193)^2</f>
        <v>1.0884762017667526E-2</v>
      </c>
    </row>
    <row r="194" spans="1:17" x14ac:dyDescent="0.25">
      <c r="A194" s="3">
        <v>46188</v>
      </c>
      <c r="B194" s="4">
        <v>26</v>
      </c>
      <c r="C194" s="5">
        <v>3.138297924353024</v>
      </c>
      <c r="D194" s="6">
        <v>4.08</v>
      </c>
      <c r="E194">
        <v>3.3772974014282231</v>
      </c>
      <c r="F194">
        <f t="shared" si="6"/>
        <v>0.88680279927782302</v>
      </c>
      <c r="G194">
        <f t="shared" si="6"/>
        <v>0.49379094203952795</v>
      </c>
      <c r="K194">
        <v>3.3772974014282231</v>
      </c>
      <c r="L194" s="15">
        <v>3.3730320930480961</v>
      </c>
      <c r="M194" s="15">
        <v>3.843145370483398</v>
      </c>
      <c r="O194" s="11">
        <f t="shared" ref="O194:O257" si="7">(K194-$D194)^2</f>
        <v>0.49379094203952795</v>
      </c>
      <c r="P194" s="11">
        <f>(L194-$D194)^2</f>
        <v>0.49980362145995588</v>
      </c>
      <c r="Q194" s="11">
        <f>(M194-$D194)^2</f>
        <v>5.6100115523446827E-2</v>
      </c>
    </row>
    <row r="195" spans="1:17" x14ac:dyDescent="0.25">
      <c r="A195" s="3">
        <v>46188</v>
      </c>
      <c r="B195" s="4">
        <v>27</v>
      </c>
      <c r="C195" s="5">
        <v>2.2563622332388662</v>
      </c>
      <c r="D195" s="6">
        <v>3.04</v>
      </c>
      <c r="E195">
        <v>2.3578250408172612</v>
      </c>
      <c r="F195">
        <f t="shared" ref="F195:G258" si="8">(C195-D195)^2</f>
        <v>0.61408814949437718</v>
      </c>
      <c r="G195">
        <f t="shared" si="8"/>
        <v>0.46536267493597139</v>
      </c>
      <c r="K195">
        <v>2.3578250408172612</v>
      </c>
      <c r="L195" s="15">
        <v>2.306480884552002</v>
      </c>
      <c r="M195" s="15">
        <v>2.8759009838104248</v>
      </c>
      <c r="O195" s="11">
        <f t="shared" si="7"/>
        <v>0.46536267493597139</v>
      </c>
      <c r="P195" s="11">
        <f>(L195-$D195)^2</f>
        <v>0.53805029272761351</v>
      </c>
      <c r="Q195" s="11">
        <f>(M195-$D195)^2</f>
        <v>2.6928487114386473E-2</v>
      </c>
    </row>
    <row r="196" spans="1:17" x14ac:dyDescent="0.25">
      <c r="A196" s="3">
        <v>46188</v>
      </c>
      <c r="B196" s="4">
        <v>28</v>
      </c>
      <c r="C196" s="5">
        <v>1.9328322995533846</v>
      </c>
      <c r="D196" s="6">
        <v>2.6</v>
      </c>
      <c r="E196">
        <v>1.9294807910919189</v>
      </c>
      <c r="F196">
        <f t="shared" si="8"/>
        <v>0.44511274051922478</v>
      </c>
      <c r="G196">
        <f t="shared" si="8"/>
        <v>0.44959600951471895</v>
      </c>
      <c r="K196">
        <v>1.9294807910919189</v>
      </c>
      <c r="L196" s="15">
        <v>1.810662508010864</v>
      </c>
      <c r="M196" s="15">
        <v>2.3514330387115479</v>
      </c>
      <c r="O196" s="11">
        <f t="shared" si="7"/>
        <v>0.44959600951471895</v>
      </c>
      <c r="P196" s="11">
        <f>(L196-$D196)^2</f>
        <v>0.62305367625969943</v>
      </c>
      <c r="Q196" s="11">
        <f>(M196-$D196)^2</f>
        <v>6.1785534244174913E-2</v>
      </c>
    </row>
    <row r="197" spans="1:17" x14ac:dyDescent="0.25">
      <c r="A197" s="7">
        <v>46188</v>
      </c>
      <c r="B197" s="4">
        <v>29</v>
      </c>
      <c r="C197" s="5">
        <v>2.408628545444933</v>
      </c>
      <c r="D197" s="6">
        <v>2.7</v>
      </c>
      <c r="E197">
        <v>2.2560453414916992</v>
      </c>
      <c r="F197">
        <f t="shared" si="8"/>
        <v>8.4897324529535578E-2</v>
      </c>
      <c r="G197">
        <f t="shared" si="8"/>
        <v>0.19709573881122211</v>
      </c>
      <c r="K197">
        <v>2.2560453414916992</v>
      </c>
      <c r="L197" s="15">
        <v>2.182043313980103</v>
      </c>
      <c r="M197" s="15">
        <v>2.4557263851165771</v>
      </c>
      <c r="O197" s="11">
        <f t="shared" si="7"/>
        <v>0.19709573881122211</v>
      </c>
      <c r="P197" s="11">
        <f>(L197-$D197)^2</f>
        <v>0.26827912859271436</v>
      </c>
      <c r="Q197" s="11">
        <f>(M197-$D197)^2</f>
        <v>5.966959892821487E-2</v>
      </c>
    </row>
    <row r="198" spans="1:17" x14ac:dyDescent="0.25">
      <c r="A198" s="3">
        <v>46189</v>
      </c>
      <c r="B198" s="4">
        <v>6</v>
      </c>
      <c r="C198" s="5">
        <v>4.1241431404320021</v>
      </c>
      <c r="D198" s="6">
        <v>3.86</v>
      </c>
      <c r="E198">
        <v>3.8528151512146001</v>
      </c>
      <c r="F198">
        <f t="shared" si="8"/>
        <v>6.9771598637280469E-2</v>
      </c>
      <c r="G198">
        <f t="shared" si="8"/>
        <v>5.1622052069061297E-5</v>
      </c>
      <c r="K198">
        <v>3.8528151512146001</v>
      </c>
      <c r="L198" s="15">
        <v>3.6674027442932129</v>
      </c>
      <c r="M198" s="15">
        <v>3.7938499450683589</v>
      </c>
      <c r="O198" s="11">
        <f t="shared" si="7"/>
        <v>5.1622052069061297E-5</v>
      </c>
      <c r="P198" s="11">
        <f>(L198-$D198)^2</f>
        <v>3.7093702905785494E-2</v>
      </c>
      <c r="Q198" s="11">
        <f>(M198-$D198)^2</f>
        <v>4.3758297674591148E-3</v>
      </c>
    </row>
    <row r="199" spans="1:17" x14ac:dyDescent="0.25">
      <c r="A199" s="3">
        <v>46189</v>
      </c>
      <c r="B199" s="4">
        <v>7</v>
      </c>
      <c r="C199" s="5">
        <v>6.063739633438777</v>
      </c>
      <c r="D199" s="6">
        <v>5.6</v>
      </c>
      <c r="E199">
        <v>5.5435881614685059</v>
      </c>
      <c r="F199">
        <f t="shared" si="8"/>
        <v>0.21505444762193157</v>
      </c>
      <c r="G199">
        <f t="shared" si="8"/>
        <v>3.182295526503327E-3</v>
      </c>
      <c r="K199">
        <v>5.5435881614685059</v>
      </c>
      <c r="L199" s="15">
        <v>5.389162540435791</v>
      </c>
      <c r="M199" s="15">
        <v>5.5083174705505371</v>
      </c>
      <c r="O199" s="11">
        <f t="shared" si="7"/>
        <v>3.182295526503327E-3</v>
      </c>
      <c r="P199" s="11">
        <f>(L199-$D199)^2</f>
        <v>4.4452434355489311E-2</v>
      </c>
      <c r="Q199" s="11">
        <f>(M199-$D199)^2</f>
        <v>8.4056862062515652E-3</v>
      </c>
    </row>
    <row r="200" spans="1:17" x14ac:dyDescent="0.25">
      <c r="A200" s="3">
        <v>46189</v>
      </c>
      <c r="B200" s="4">
        <v>8</v>
      </c>
      <c r="C200" s="5">
        <v>7.7743609820978632</v>
      </c>
      <c r="D200" s="6">
        <v>7.31</v>
      </c>
      <c r="E200">
        <v>7.2191267013549796</v>
      </c>
      <c r="F200">
        <f t="shared" si="8"/>
        <v>0.21563112169489237</v>
      </c>
      <c r="G200">
        <f t="shared" si="8"/>
        <v>8.2579564066269998E-3</v>
      </c>
      <c r="K200">
        <v>7.2191267013549796</v>
      </c>
      <c r="L200" s="15">
        <v>7.048670768737793</v>
      </c>
      <c r="M200" s="15">
        <v>7.0191364288330078</v>
      </c>
      <c r="O200" s="11">
        <f t="shared" si="7"/>
        <v>8.2579564066269998E-3</v>
      </c>
      <c r="P200" s="11">
        <f>(L200-$D200)^2</f>
        <v>6.8292967112095884E-2</v>
      </c>
      <c r="Q200" s="11">
        <f>(M200-$D200)^2</f>
        <v>8.46016170320157E-2</v>
      </c>
    </row>
    <row r="201" spans="1:17" x14ac:dyDescent="0.25">
      <c r="A201" s="3">
        <v>46189</v>
      </c>
      <c r="B201" s="4">
        <v>9</v>
      </c>
      <c r="C201" s="5">
        <v>8.9418319883508097</v>
      </c>
      <c r="D201" s="6">
        <v>8.48</v>
      </c>
      <c r="E201">
        <v>8.4631633758544922</v>
      </c>
      <c r="F201">
        <f t="shared" si="8"/>
        <v>0.21328878546406205</v>
      </c>
      <c r="G201">
        <f t="shared" si="8"/>
        <v>2.8347191261711104E-4</v>
      </c>
      <c r="K201">
        <v>8.4631633758544922</v>
      </c>
      <c r="L201" s="15">
        <v>8.3515186309814453</v>
      </c>
      <c r="M201" s="15">
        <v>8.2670269012451172</v>
      </c>
      <c r="O201" s="11">
        <f t="shared" si="7"/>
        <v>2.8347191261711104E-4</v>
      </c>
      <c r="P201" s="11">
        <f>(L201-$D201)^2</f>
        <v>1.6507462184882134E-2</v>
      </c>
      <c r="Q201" s="11">
        <f>(M201-$D201)^2</f>
        <v>4.5357540793257246E-2</v>
      </c>
    </row>
    <row r="202" spans="1:17" x14ac:dyDescent="0.25">
      <c r="A202" s="3">
        <v>46189</v>
      </c>
      <c r="B202" s="4">
        <v>10</v>
      </c>
      <c r="C202" s="5">
        <v>9.2778828758755427</v>
      </c>
      <c r="D202" s="6">
        <v>8.7100000000000009</v>
      </c>
      <c r="E202">
        <v>8.8515205383300781</v>
      </c>
      <c r="F202">
        <f t="shared" si="8"/>
        <v>0.32249096071267608</v>
      </c>
      <c r="G202">
        <f t="shared" si="8"/>
        <v>2.002806276923487E-2</v>
      </c>
      <c r="K202">
        <v>8.8515205383300781</v>
      </c>
      <c r="L202" s="15">
        <v>8.6726369857788086</v>
      </c>
      <c r="M202" s="15">
        <v>8.6408596038818359</v>
      </c>
      <c r="O202" s="11">
        <f t="shared" si="7"/>
        <v>2.002806276923487E-2</v>
      </c>
      <c r="P202" s="11">
        <f>(L202-$D202)^2</f>
        <v>1.395994831693015E-3</v>
      </c>
      <c r="Q202" s="11">
        <f>(M202-$D202)^2</f>
        <v>4.7803943753767543E-3</v>
      </c>
    </row>
    <row r="203" spans="1:17" x14ac:dyDescent="0.25">
      <c r="A203" s="3">
        <v>46189</v>
      </c>
      <c r="B203" s="4">
        <v>11</v>
      </c>
      <c r="C203" s="5">
        <v>9.3918667315156199</v>
      </c>
      <c r="D203" s="6">
        <v>8.9499999999999993</v>
      </c>
      <c r="E203">
        <v>8.7202415466308594</v>
      </c>
      <c r="F203">
        <f t="shared" si="8"/>
        <v>0.19524620842029755</v>
      </c>
      <c r="G203">
        <f t="shared" si="8"/>
        <v>5.278894689457924E-2</v>
      </c>
      <c r="K203">
        <v>8.7202415466308594</v>
      </c>
      <c r="L203" s="15">
        <v>8.6154575347900391</v>
      </c>
      <c r="M203" s="15">
        <v>8.4944381713867188</v>
      </c>
      <c r="O203" s="11">
        <f t="shared" si="7"/>
        <v>5.278894689457924E-2</v>
      </c>
      <c r="P203" s="11">
        <f>(L203-$D203)^2</f>
        <v>0.11191866102875744</v>
      </c>
      <c r="Q203" s="11">
        <f>(M203-$D203)^2</f>
        <v>0.207536579689476</v>
      </c>
    </row>
    <row r="204" spans="1:17" x14ac:dyDescent="0.25">
      <c r="A204" s="3">
        <v>46189</v>
      </c>
      <c r="B204" s="4">
        <v>12</v>
      </c>
      <c r="C204" s="5">
        <v>9.3229295258949154</v>
      </c>
      <c r="D204" s="6">
        <v>9.36</v>
      </c>
      <c r="E204">
        <v>8.6454944610595703</v>
      </c>
      <c r="F204">
        <f t="shared" si="8"/>
        <v>1.3742200503757047E-3</v>
      </c>
      <c r="G204">
        <f t="shared" si="8"/>
        <v>0.51051816517655302</v>
      </c>
      <c r="K204">
        <v>8.6454944610595703</v>
      </c>
      <c r="L204" s="15">
        <v>8.6570301055908203</v>
      </c>
      <c r="M204" s="15">
        <v>8.5353946685791016</v>
      </c>
      <c r="O204" s="11">
        <f t="shared" si="7"/>
        <v>0.51051816517655302</v>
      </c>
      <c r="P204" s="11">
        <f>(L204-$D204)^2</f>
        <v>0.49416667244565243</v>
      </c>
      <c r="Q204" s="11">
        <f>(M204-$D204)^2</f>
        <v>0.67997395260776883</v>
      </c>
    </row>
    <row r="205" spans="1:17" x14ac:dyDescent="0.25">
      <c r="A205" s="3">
        <v>46189</v>
      </c>
      <c r="B205" s="4">
        <v>13</v>
      </c>
      <c r="C205" s="5">
        <v>9.2827761222035239</v>
      </c>
      <c r="D205" s="6">
        <v>9.09</v>
      </c>
      <c r="E205">
        <v>8.8751068115234375</v>
      </c>
      <c r="F205">
        <f t="shared" si="8"/>
        <v>3.7162633291828027E-2</v>
      </c>
      <c r="G205">
        <f t="shared" si="8"/>
        <v>4.617908245362335E-2</v>
      </c>
      <c r="K205">
        <v>8.8751068115234375</v>
      </c>
      <c r="L205" s="15">
        <v>8.8797979354858398</v>
      </c>
      <c r="M205" s="15">
        <v>8.7907485961914063</v>
      </c>
      <c r="O205" s="11">
        <f t="shared" si="7"/>
        <v>4.617908245362335E-2</v>
      </c>
      <c r="P205" s="11">
        <f>(L205-$D205)^2</f>
        <v>4.4184907926015086E-2</v>
      </c>
      <c r="Q205" s="11">
        <f>(M205-$D205)^2</f>
        <v>8.9551402681413955E-2</v>
      </c>
    </row>
    <row r="206" spans="1:17" x14ac:dyDescent="0.25">
      <c r="A206" s="3">
        <v>46189</v>
      </c>
      <c r="B206" s="4">
        <v>14</v>
      </c>
      <c r="C206" s="5">
        <v>10.275217146494606</v>
      </c>
      <c r="D206" s="6">
        <v>10.210000000000001</v>
      </c>
      <c r="E206">
        <v>9.7529182434082031</v>
      </c>
      <c r="F206">
        <f t="shared" si="8"/>
        <v>4.253276196898823E-3</v>
      </c>
      <c r="G206">
        <f t="shared" si="8"/>
        <v>0.20892373220904342</v>
      </c>
      <c r="K206">
        <v>9.7529182434082031</v>
      </c>
      <c r="L206" s="15">
        <v>9.8643894195556641</v>
      </c>
      <c r="M206" s="15">
        <v>9.7560796737670898</v>
      </c>
      <c r="O206" s="11">
        <f t="shared" si="7"/>
        <v>0.20892373220904342</v>
      </c>
      <c r="P206" s="11">
        <f>(L206-$D206)^2</f>
        <v>0.11944667331507139</v>
      </c>
      <c r="Q206" s="11">
        <f>(M206-$D206)^2</f>
        <v>0.20604366256739237</v>
      </c>
    </row>
    <row r="207" spans="1:17" x14ac:dyDescent="0.25">
      <c r="A207" s="3">
        <v>46189</v>
      </c>
      <c r="B207" s="4">
        <v>15</v>
      </c>
      <c r="C207" s="5">
        <v>11.942399420472068</v>
      </c>
      <c r="D207" s="6">
        <v>12.01</v>
      </c>
      <c r="E207">
        <v>11.16808414459229</v>
      </c>
      <c r="F207">
        <f t="shared" si="8"/>
        <v>4.5698383525122552E-3</v>
      </c>
      <c r="G207">
        <f t="shared" si="8"/>
        <v>0.70882230758689491</v>
      </c>
      <c r="K207">
        <v>11.16808414459229</v>
      </c>
      <c r="L207" s="15">
        <v>11.70095252990723</v>
      </c>
      <c r="M207" s="15">
        <v>11.088680267333981</v>
      </c>
      <c r="O207" s="11">
        <f t="shared" si="7"/>
        <v>0.70882230758689491</v>
      </c>
      <c r="P207" s="11">
        <f>(L207-$D207)^2</f>
        <v>9.551033877074136E-2</v>
      </c>
      <c r="Q207" s="11">
        <f>(M207-$D207)^2</f>
        <v>0.8488300497997846</v>
      </c>
    </row>
    <row r="208" spans="1:17" x14ac:dyDescent="0.25">
      <c r="A208" s="3">
        <v>46189</v>
      </c>
      <c r="B208" s="4">
        <v>16</v>
      </c>
      <c r="C208" s="5">
        <v>14.333883613892853</v>
      </c>
      <c r="D208" s="6">
        <v>13.73</v>
      </c>
      <c r="E208">
        <v>13.240822792053221</v>
      </c>
      <c r="F208">
        <f t="shared" si="8"/>
        <v>0.36467541912829204</v>
      </c>
      <c r="G208">
        <f t="shared" si="8"/>
        <v>0.23929434077460679</v>
      </c>
      <c r="K208">
        <v>13.240822792053221</v>
      </c>
      <c r="L208" s="15">
        <v>13.90260696411133</v>
      </c>
      <c r="M208" s="15">
        <v>13.20736122131348</v>
      </c>
      <c r="O208" s="11">
        <f t="shared" si="7"/>
        <v>0.23929434077460679</v>
      </c>
      <c r="P208" s="11">
        <f>(L208-$D208)^2</f>
        <v>2.9793164059729781E-2</v>
      </c>
      <c r="Q208" s="11">
        <f>(M208-$D208)^2</f>
        <v>0.27315129298693758</v>
      </c>
    </row>
    <row r="209" spans="1:17" x14ac:dyDescent="0.25">
      <c r="A209" s="3">
        <v>46189</v>
      </c>
      <c r="B209" s="4">
        <v>17</v>
      </c>
      <c r="C209" s="5">
        <v>16.655605945767665</v>
      </c>
      <c r="D209" s="6">
        <v>16.010000000000002</v>
      </c>
      <c r="E209">
        <v>15.129865646362299</v>
      </c>
      <c r="F209">
        <f t="shared" si="8"/>
        <v>0.41680703721055867</v>
      </c>
      <c r="G209">
        <f t="shared" si="8"/>
        <v>0.77463648045325584</v>
      </c>
      <c r="K209">
        <v>15.129865646362299</v>
      </c>
      <c r="L209" s="15">
        <v>15.87518310546875</v>
      </c>
      <c r="M209" s="15">
        <v>15.118293762207029</v>
      </c>
      <c r="O209" s="11">
        <f t="shared" si="7"/>
        <v>0.77463648045325584</v>
      </c>
      <c r="P209" s="11">
        <f>(L209-$D209)^2</f>
        <v>1.8175595051050607E-2</v>
      </c>
      <c r="Q209" s="11">
        <f>(M209-$D209)^2</f>
        <v>0.79514001451889649</v>
      </c>
    </row>
    <row r="210" spans="1:17" x14ac:dyDescent="0.25">
      <c r="A210" s="3">
        <v>46189</v>
      </c>
      <c r="B210" s="4">
        <v>18</v>
      </c>
      <c r="C210" s="5">
        <v>18.895569327452346</v>
      </c>
      <c r="D210" s="6">
        <v>18</v>
      </c>
      <c r="E210">
        <v>17.2205696105957</v>
      </c>
      <c r="F210">
        <f t="shared" si="8"/>
        <v>0.80204442027344769</v>
      </c>
      <c r="G210">
        <f t="shared" si="8"/>
        <v>0.60751173192693941</v>
      </c>
      <c r="K210">
        <v>17.2205696105957</v>
      </c>
      <c r="L210" s="15">
        <v>17.86674880981445</v>
      </c>
      <c r="M210" s="15">
        <v>17.309419631958011</v>
      </c>
      <c r="O210" s="11">
        <f t="shared" si="7"/>
        <v>0.60751173192693941</v>
      </c>
      <c r="P210" s="11">
        <f>(L210-$D210)^2</f>
        <v>1.7755879685865731E-2</v>
      </c>
      <c r="Q210" s="11">
        <f>(M210-$D210)^2</f>
        <v>0.4769012447250085</v>
      </c>
    </row>
    <row r="211" spans="1:17" x14ac:dyDescent="0.25">
      <c r="A211" s="3">
        <v>46189</v>
      </c>
      <c r="B211" s="4">
        <v>19</v>
      </c>
      <c r="C211" s="5">
        <v>22.893283215885081</v>
      </c>
      <c r="D211" s="6">
        <v>21.2</v>
      </c>
      <c r="E211">
        <v>20.634357452392582</v>
      </c>
      <c r="F211">
        <f t="shared" si="8"/>
        <v>2.8672080491981236</v>
      </c>
      <c r="G211">
        <f t="shared" si="8"/>
        <v>0.31995149166380971</v>
      </c>
      <c r="K211">
        <v>20.634357452392582</v>
      </c>
      <c r="L211" s="15">
        <v>21.312129974365231</v>
      </c>
      <c r="M211" s="15">
        <v>20.23734283447266</v>
      </c>
      <c r="O211" s="11">
        <f t="shared" si="7"/>
        <v>0.31995149166380971</v>
      </c>
      <c r="P211" s="11">
        <f>(L211-$D211)^2</f>
        <v>1.2573131151147481E-2</v>
      </c>
      <c r="Q211" s="11">
        <f>(M211-$D211)^2</f>
        <v>0.9267088183411315</v>
      </c>
    </row>
    <row r="212" spans="1:17" x14ac:dyDescent="0.25">
      <c r="A212" s="3">
        <v>46189</v>
      </c>
      <c r="B212" s="4">
        <v>20</v>
      </c>
      <c r="C212" s="5">
        <v>25.170455736657885</v>
      </c>
      <c r="D212" s="6">
        <v>23.84</v>
      </c>
      <c r="E212">
        <v>23.48469161987305</v>
      </c>
      <c r="F212">
        <f t="shared" si="8"/>
        <v>1.7701124672058768</v>
      </c>
      <c r="G212">
        <f t="shared" si="8"/>
        <v>0.1262440449884368</v>
      </c>
      <c r="K212">
        <v>23.48469161987305</v>
      </c>
      <c r="L212" s="15">
        <v>23.60720252990723</v>
      </c>
      <c r="M212" s="15">
        <v>22.883451461791989</v>
      </c>
      <c r="O212" s="11">
        <f t="shared" si="7"/>
        <v>0.1262440449884368</v>
      </c>
      <c r="P212" s="11">
        <f>(L212-$D212)^2</f>
        <v>5.4194662081594021E-2</v>
      </c>
      <c r="Q212" s="11">
        <f>(M212-$D212)^2</f>
        <v>0.91498510594788307</v>
      </c>
    </row>
    <row r="213" spans="1:17" x14ac:dyDescent="0.25">
      <c r="A213" s="3">
        <v>46189</v>
      </c>
      <c r="B213" s="4">
        <v>21</v>
      </c>
      <c r="C213" s="5">
        <v>25.731826601997032</v>
      </c>
      <c r="D213" s="6">
        <v>27.24</v>
      </c>
      <c r="E213">
        <v>26.319936752319339</v>
      </c>
      <c r="F213">
        <f t="shared" si="8"/>
        <v>2.2745869984438154</v>
      </c>
      <c r="G213">
        <f t="shared" si="8"/>
        <v>0.84651637973268157</v>
      </c>
      <c r="K213">
        <v>26.319936752319339</v>
      </c>
      <c r="L213" s="15">
        <v>26.30698394775391</v>
      </c>
      <c r="M213" s="15">
        <v>25.0845947265625</v>
      </c>
      <c r="O213" s="11">
        <f t="shared" si="7"/>
        <v>0.84651637973268157</v>
      </c>
      <c r="P213" s="11">
        <f>(L213-$D213)^2</f>
        <v>0.870518953748876</v>
      </c>
      <c r="Q213" s="11">
        <f>(M213-$D213)^2</f>
        <v>4.6457718927621778</v>
      </c>
    </row>
    <row r="214" spans="1:17" x14ac:dyDescent="0.25">
      <c r="A214" s="3">
        <v>46189</v>
      </c>
      <c r="B214" s="4">
        <v>22</v>
      </c>
      <c r="C214" s="5">
        <v>22.478068237914158</v>
      </c>
      <c r="D214" s="6">
        <v>25.1</v>
      </c>
      <c r="E214">
        <v>24.086458206176761</v>
      </c>
      <c r="F214">
        <f t="shared" si="8"/>
        <v>6.8745261650345757</v>
      </c>
      <c r="G214">
        <f t="shared" si="8"/>
        <v>1.0272669678264312</v>
      </c>
      <c r="K214">
        <v>24.086458206176761</v>
      </c>
      <c r="L214" s="15">
        <v>24.09236907958984</v>
      </c>
      <c r="M214" s="15">
        <v>23.226806640625</v>
      </c>
      <c r="O214" s="11">
        <f t="shared" si="7"/>
        <v>1.0272669678264312</v>
      </c>
      <c r="P214" s="11">
        <f>(L214-$D214)^2</f>
        <v>1.0153200717666286</v>
      </c>
      <c r="Q214" s="11">
        <f>(M214-$D214)^2</f>
        <v>3.5088533616066031</v>
      </c>
    </row>
    <row r="215" spans="1:17" x14ac:dyDescent="0.25">
      <c r="A215" s="3">
        <v>46189</v>
      </c>
      <c r="B215" s="4">
        <v>23</v>
      </c>
      <c r="C215" s="5">
        <v>14.779330938625185</v>
      </c>
      <c r="D215" s="6">
        <v>16.7</v>
      </c>
      <c r="E215">
        <v>15.162540435791019</v>
      </c>
      <c r="F215">
        <f t="shared" si="8"/>
        <v>3.688969643322412</v>
      </c>
      <c r="G215">
        <f t="shared" si="8"/>
        <v>2.363781911577667</v>
      </c>
      <c r="K215">
        <v>15.162540435791019</v>
      </c>
      <c r="L215" s="15">
        <v>15.55776214599609</v>
      </c>
      <c r="M215" s="15">
        <v>15.022365570068359</v>
      </c>
      <c r="O215" s="11">
        <f t="shared" si="7"/>
        <v>2.363781911577667</v>
      </c>
      <c r="P215" s="11">
        <f>(L215-$D215)^2</f>
        <v>1.3047073151194555</v>
      </c>
      <c r="Q215" s="11">
        <f>(M215-$D215)^2</f>
        <v>2.8144572804920585</v>
      </c>
    </row>
    <row r="216" spans="1:17" x14ac:dyDescent="0.25">
      <c r="A216" s="3">
        <v>46189</v>
      </c>
      <c r="B216" s="4">
        <v>24</v>
      </c>
      <c r="C216" s="5">
        <v>8.2528916891726993</v>
      </c>
      <c r="D216" s="6">
        <v>10.09</v>
      </c>
      <c r="E216">
        <v>9.1803693771362305</v>
      </c>
      <c r="F216">
        <f t="shared" si="8"/>
        <v>3.3749669457107374</v>
      </c>
      <c r="G216">
        <f t="shared" si="8"/>
        <v>0.82742787005152907</v>
      </c>
      <c r="K216">
        <v>9.1803693771362305</v>
      </c>
      <c r="L216" s="15">
        <v>9.3538455963134766</v>
      </c>
      <c r="M216" s="15">
        <v>9.8330507278442383</v>
      </c>
      <c r="O216" s="11">
        <f t="shared" si="7"/>
        <v>0.82742787005152907</v>
      </c>
      <c r="P216" s="11">
        <f>(L216-$D216)^2</f>
        <v>0.54192330606706074</v>
      </c>
      <c r="Q216" s="11">
        <f>(M216-$D216)^2</f>
        <v>6.6022928461375627E-2</v>
      </c>
    </row>
    <row r="217" spans="1:17" x14ac:dyDescent="0.25">
      <c r="A217" s="3">
        <v>46189</v>
      </c>
      <c r="B217" s="4">
        <v>25</v>
      </c>
      <c r="C217" s="5">
        <v>4.9175686406135233</v>
      </c>
      <c r="D217" s="6">
        <v>6</v>
      </c>
      <c r="E217">
        <v>5.5144987106323242</v>
      </c>
      <c r="F217">
        <f t="shared" si="8"/>
        <v>1.1716576477832559</v>
      </c>
      <c r="G217">
        <f t="shared" si="8"/>
        <v>0.23571150197767565</v>
      </c>
      <c r="K217">
        <v>5.5144987106323242</v>
      </c>
      <c r="L217" s="15">
        <v>5.5100564956665039</v>
      </c>
      <c r="M217" s="15">
        <v>6.2435908317565918</v>
      </c>
      <c r="O217" s="11">
        <f t="shared" si="7"/>
        <v>0.23571150197767565</v>
      </c>
      <c r="P217" s="11">
        <f>(L217-$D217)^2</f>
        <v>0.24004463743858651</v>
      </c>
      <c r="Q217" s="11">
        <f>(M217-$D217)^2</f>
        <v>5.9336493315868211E-2</v>
      </c>
    </row>
    <row r="218" spans="1:17" x14ac:dyDescent="0.25">
      <c r="A218" s="3">
        <v>46189</v>
      </c>
      <c r="B218" s="4">
        <v>26</v>
      </c>
      <c r="C218" s="5">
        <v>3.2553040791956822</v>
      </c>
      <c r="D218" s="6">
        <v>4.17</v>
      </c>
      <c r="E218">
        <v>3.4141707420349121</v>
      </c>
      <c r="F218">
        <f t="shared" si="8"/>
        <v>0.83666862753605864</v>
      </c>
      <c r="G218">
        <f t="shared" si="8"/>
        <v>0.57127786719605522</v>
      </c>
      <c r="K218">
        <v>3.4141707420349121</v>
      </c>
      <c r="L218" s="15">
        <v>3.4283409118652339</v>
      </c>
      <c r="M218" s="15">
        <v>4.011868953704834</v>
      </c>
      <c r="O218" s="11">
        <f t="shared" si="7"/>
        <v>0.57127786719605522</v>
      </c>
      <c r="P218" s="11">
        <f>(L218-$D218)^2</f>
        <v>0.55005820301289254</v>
      </c>
      <c r="Q218" s="11">
        <f>(M218-$D218)^2</f>
        <v>2.5005427802403914E-2</v>
      </c>
    </row>
    <row r="219" spans="1:17" x14ac:dyDescent="0.25">
      <c r="A219" s="3">
        <v>46189</v>
      </c>
      <c r="B219" s="4">
        <v>27</v>
      </c>
      <c r="C219" s="5">
        <v>2.2719832025459041</v>
      </c>
      <c r="D219" s="6">
        <v>3.33</v>
      </c>
      <c r="E219">
        <v>2.3877673149108891</v>
      </c>
      <c r="F219">
        <f t="shared" si="8"/>
        <v>1.1193995436950215</v>
      </c>
      <c r="G219">
        <f t="shared" si="8"/>
        <v>0.88780243285023575</v>
      </c>
      <c r="K219">
        <v>2.3877673149108891</v>
      </c>
      <c r="L219" s="15">
        <v>2.3164513111114502</v>
      </c>
      <c r="M219" s="15">
        <v>2.9764294624328609</v>
      </c>
      <c r="O219" s="11">
        <f t="shared" si="7"/>
        <v>0.88780243285023575</v>
      </c>
      <c r="P219" s="11">
        <f>(L219-$D219)^2</f>
        <v>1.0272809447476985</v>
      </c>
      <c r="Q219" s="11">
        <f>(M219-$D219)^2</f>
        <v>0.12501212503551579</v>
      </c>
    </row>
    <row r="220" spans="1:17" x14ac:dyDescent="0.25">
      <c r="A220" s="3">
        <v>46189</v>
      </c>
      <c r="B220" s="4">
        <v>28</v>
      </c>
      <c r="C220" s="5">
        <v>1.967378618628947</v>
      </c>
      <c r="D220" s="6">
        <v>2.5</v>
      </c>
      <c r="E220">
        <v>1.944268941879272</v>
      </c>
      <c r="F220">
        <f t="shared" si="8"/>
        <v>0.28368553589360868</v>
      </c>
      <c r="G220">
        <f t="shared" si="8"/>
        <v>0.30883700895998395</v>
      </c>
      <c r="K220">
        <v>1.944268941879272</v>
      </c>
      <c r="L220" s="15">
        <v>1.788743257522583</v>
      </c>
      <c r="M220" s="15">
        <v>2.4561893939971919</v>
      </c>
      <c r="O220" s="11">
        <f t="shared" si="7"/>
        <v>0.30883700895998395</v>
      </c>
      <c r="P220" s="11">
        <f>(L220-$D220)^2</f>
        <v>0.50588615371958667</v>
      </c>
      <c r="Q220" s="11">
        <f>(M220-$D220)^2</f>
        <v>1.9193691983332816E-3</v>
      </c>
    </row>
    <row r="221" spans="1:17" x14ac:dyDescent="0.25">
      <c r="A221" s="7">
        <v>46189</v>
      </c>
      <c r="B221" s="4">
        <v>29</v>
      </c>
      <c r="C221" s="5">
        <v>2.3809960955927929</v>
      </c>
      <c r="D221" s="6">
        <v>2.39</v>
      </c>
      <c r="E221">
        <v>2.2979362010955811</v>
      </c>
      <c r="F221">
        <f t="shared" si="8"/>
        <v>8.1070294574125585E-5</v>
      </c>
      <c r="G221">
        <f t="shared" si="8"/>
        <v>8.4757430687133137E-3</v>
      </c>
      <c r="K221">
        <v>2.2979362010955811</v>
      </c>
      <c r="L221" s="15">
        <v>2.1781067848205571</v>
      </c>
      <c r="M221" s="15">
        <v>2.4864602088928218</v>
      </c>
      <c r="O221" s="11">
        <f t="shared" si="7"/>
        <v>8.4757430687133137E-3</v>
      </c>
      <c r="P221" s="11">
        <f>(L221-$D221)^2</f>
        <v>4.4898734639081748E-2</v>
      </c>
      <c r="Q221" s="11">
        <f>(M221-$D221)^2</f>
        <v>9.3045718996467974E-3</v>
      </c>
    </row>
    <row r="222" spans="1:17" x14ac:dyDescent="0.25">
      <c r="A222" s="3">
        <v>46190</v>
      </c>
      <c r="B222" s="4">
        <v>6</v>
      </c>
      <c r="C222" s="5">
        <v>4.1873235856668458</v>
      </c>
      <c r="D222" s="6">
        <v>4.03</v>
      </c>
      <c r="E222">
        <v>3.9388008117675781</v>
      </c>
      <c r="F222">
        <f t="shared" si="8"/>
        <v>2.4750710607073297E-2</v>
      </c>
      <c r="G222">
        <f t="shared" si="8"/>
        <v>8.3172919342527612E-3</v>
      </c>
      <c r="K222">
        <v>3.9388008117675781</v>
      </c>
      <c r="L222" s="15">
        <v>3.682317733764648</v>
      </c>
      <c r="M222" s="15">
        <v>4.1643896102905273</v>
      </c>
      <c r="O222" s="11">
        <f t="shared" si="7"/>
        <v>8.3172919342527612E-3</v>
      </c>
      <c r="P222" s="11">
        <f>(L222-$D222)^2</f>
        <v>0.12088295825455037</v>
      </c>
      <c r="Q222" s="11">
        <f>(M222-$D222)^2</f>
        <v>1.8060567354039745E-2</v>
      </c>
    </row>
    <row r="223" spans="1:17" x14ac:dyDescent="0.25">
      <c r="A223" s="3">
        <v>46190</v>
      </c>
      <c r="B223" s="4">
        <v>7</v>
      </c>
      <c r="C223" s="5">
        <v>6.1285031877797316</v>
      </c>
      <c r="D223" s="6">
        <v>5.85</v>
      </c>
      <c r="E223">
        <v>5.7265658378601074</v>
      </c>
      <c r="F223">
        <f t="shared" si="8"/>
        <v>7.7564025603472628E-2</v>
      </c>
      <c r="G223">
        <f t="shared" si="8"/>
        <v>1.5235992383177202E-2</v>
      </c>
      <c r="K223">
        <v>5.7265658378601074</v>
      </c>
      <c r="L223" s="15">
        <v>5.4462575912475586</v>
      </c>
      <c r="M223" s="15">
        <v>6.0460376739501953</v>
      </c>
      <c r="O223" s="11">
        <f t="shared" si="7"/>
        <v>1.5235992383177202E-2</v>
      </c>
      <c r="P223" s="11">
        <f>(L223-$D223)^2</f>
        <v>0.1630079326252232</v>
      </c>
      <c r="Q223" s="11">
        <f>(M223-$D223)^2</f>
        <v>3.8430769607803228E-2</v>
      </c>
    </row>
    <row r="224" spans="1:17" x14ac:dyDescent="0.25">
      <c r="A224" s="3">
        <v>46190</v>
      </c>
      <c r="B224" s="4">
        <v>8</v>
      </c>
      <c r="C224" s="5">
        <v>7.6939102557054326</v>
      </c>
      <c r="D224" s="6">
        <v>7.06</v>
      </c>
      <c r="E224">
        <v>7.2357273101806641</v>
      </c>
      <c r="F224">
        <f t="shared" si="8"/>
        <v>0.40184221228852746</v>
      </c>
      <c r="G224">
        <f t="shared" si="8"/>
        <v>3.0880087543331457E-2</v>
      </c>
      <c r="K224">
        <v>7.2357273101806641</v>
      </c>
      <c r="L224" s="15">
        <v>7.2678127288818359</v>
      </c>
      <c r="M224" s="15">
        <v>7.3730831146240234</v>
      </c>
      <c r="O224" s="11">
        <f t="shared" si="7"/>
        <v>3.0880087543331457E-2</v>
      </c>
      <c r="P224" s="11">
        <f>(L224-$D224)^2</f>
        <v>4.3186130285315608E-2</v>
      </c>
      <c r="Q224" s="11">
        <f>(M224-$D224)^2</f>
        <v>9.8021036662679639E-2</v>
      </c>
    </row>
    <row r="225" spans="1:17" x14ac:dyDescent="0.25">
      <c r="A225" s="3">
        <v>46190</v>
      </c>
      <c r="B225" s="4">
        <v>9</v>
      </c>
      <c r="C225" s="5">
        <v>8.6541378880673232</v>
      </c>
      <c r="D225" s="6">
        <v>8.67</v>
      </c>
      <c r="E225">
        <v>8.4826135635375977</v>
      </c>
      <c r="F225">
        <f t="shared" si="8"/>
        <v>2.5160659496476536E-4</v>
      </c>
      <c r="G225">
        <f t="shared" si="8"/>
        <v>3.5113676570077926E-2</v>
      </c>
      <c r="K225">
        <v>8.4826135635375977</v>
      </c>
      <c r="L225" s="15">
        <v>8.4370746612548828</v>
      </c>
      <c r="M225" s="15">
        <v>8.3125886917114258</v>
      </c>
      <c r="O225" s="11">
        <f t="shared" si="7"/>
        <v>3.5113676570077926E-2</v>
      </c>
      <c r="P225" s="11">
        <f>(L225-$D225)^2</f>
        <v>5.4254213429527555E-2</v>
      </c>
      <c r="Q225" s="11">
        <f>(M225-$D225)^2</f>
        <v>0.1277428432925502</v>
      </c>
    </row>
    <row r="226" spans="1:17" x14ac:dyDescent="0.25">
      <c r="A226" s="3">
        <v>46190</v>
      </c>
      <c r="B226" s="4">
        <v>10</v>
      </c>
      <c r="C226" s="5">
        <v>9.0458854323252762</v>
      </c>
      <c r="D226" s="6">
        <v>9.0500000000000007</v>
      </c>
      <c r="E226">
        <v>8.7589435577392578</v>
      </c>
      <c r="F226">
        <f t="shared" si="8"/>
        <v>1.6929667149887875E-5</v>
      </c>
      <c r="G226">
        <f t="shared" si="8"/>
        <v>8.4713852581481161E-2</v>
      </c>
      <c r="K226">
        <v>8.7589435577392578</v>
      </c>
      <c r="L226" s="15">
        <v>8.669952392578125</v>
      </c>
      <c r="M226" s="15">
        <v>8.7228469848632813</v>
      </c>
      <c r="O226" s="11">
        <f t="shared" si="7"/>
        <v>8.4713852581481161E-2</v>
      </c>
      <c r="P226" s="11">
        <f>(L226-$D226)^2</f>
        <v>0.14443618390709215</v>
      </c>
      <c r="Q226" s="11">
        <f>(M226-$D226)^2</f>
        <v>0.10702909531304659</v>
      </c>
    </row>
    <row r="227" spans="1:17" x14ac:dyDescent="0.25">
      <c r="A227" s="3">
        <v>46190</v>
      </c>
      <c r="B227" s="4">
        <v>11</v>
      </c>
      <c r="C227" s="5">
        <v>9.0333644784860248</v>
      </c>
      <c r="D227" s="6">
        <v>9.4</v>
      </c>
      <c r="E227">
        <v>8.6439790725708008</v>
      </c>
      <c r="F227">
        <f t="shared" si="8"/>
        <v>0.13442160563582486</v>
      </c>
      <c r="G227">
        <f t="shared" si="8"/>
        <v>0.5715676427109071</v>
      </c>
      <c r="K227">
        <v>8.6439790725708008</v>
      </c>
      <c r="L227" s="15">
        <v>8.7122907638549805</v>
      </c>
      <c r="M227" s="15">
        <v>8.5915393829345703</v>
      </c>
      <c r="O227" s="11">
        <f t="shared" si="7"/>
        <v>0.5715676427109071</v>
      </c>
      <c r="P227" s="11">
        <f>(L227-$D227)^2</f>
        <v>0.47294399347916671</v>
      </c>
      <c r="Q227" s="11">
        <f>(M227-$D227)^2</f>
        <v>0.6536085693458159</v>
      </c>
    </row>
    <row r="228" spans="1:17" x14ac:dyDescent="0.25">
      <c r="A228" s="3">
        <v>46190</v>
      </c>
      <c r="B228" s="4">
        <v>12</v>
      </c>
      <c r="C228" s="5">
        <v>9.1538246895601993</v>
      </c>
      <c r="D228" s="6">
        <v>9.16</v>
      </c>
      <c r="E228">
        <v>8.5898590087890625</v>
      </c>
      <c r="F228">
        <f t="shared" si="8"/>
        <v>3.8134459027912704E-5</v>
      </c>
      <c r="G228">
        <f t="shared" si="8"/>
        <v>0.32506074985899047</v>
      </c>
      <c r="K228">
        <v>8.5898590087890625</v>
      </c>
      <c r="L228" s="15">
        <v>8.7608709335327148</v>
      </c>
      <c r="M228" s="15">
        <v>8.5505819320678711</v>
      </c>
      <c r="O228" s="11">
        <f t="shared" si="7"/>
        <v>0.32506074985899047</v>
      </c>
      <c r="P228" s="11">
        <f>(L228-$D228)^2</f>
        <v>0.15930401169904665</v>
      </c>
      <c r="Q228" s="11">
        <f>(M228-$D228)^2</f>
        <v>0.37139038152212905</v>
      </c>
    </row>
    <row r="229" spans="1:17" x14ac:dyDescent="0.25">
      <c r="A229" s="3">
        <v>46190</v>
      </c>
      <c r="B229" s="4">
        <v>13</v>
      </c>
      <c r="C229" s="5">
        <v>9.395896463785725</v>
      </c>
      <c r="D229" s="6">
        <v>9.32</v>
      </c>
      <c r="E229">
        <v>8.8072938919067383</v>
      </c>
      <c r="F229">
        <f t="shared" si="8"/>
        <v>5.7602732151778172E-3</v>
      </c>
      <c r="G229">
        <f t="shared" si="8"/>
        <v>0.26286755327613964</v>
      </c>
      <c r="K229">
        <v>8.8072938919067383</v>
      </c>
      <c r="L229" s="15">
        <v>8.9962940216064453</v>
      </c>
      <c r="M229" s="15">
        <v>8.7590532302856445</v>
      </c>
      <c r="O229" s="11">
        <f t="shared" si="7"/>
        <v>0.26286755327613964</v>
      </c>
      <c r="P229" s="11">
        <f>(L229-$D229)^2</f>
        <v>0.10478556044772867</v>
      </c>
      <c r="Q229" s="11">
        <f>(M229-$D229)^2</f>
        <v>0.31466127845297048</v>
      </c>
    </row>
    <row r="230" spans="1:17" x14ac:dyDescent="0.25">
      <c r="A230" s="3">
        <v>46190</v>
      </c>
      <c r="B230" s="4">
        <v>14</v>
      </c>
      <c r="C230" s="5">
        <v>10.33762330745755</v>
      </c>
      <c r="D230" s="6">
        <v>10.07</v>
      </c>
      <c r="E230">
        <v>9.7816543579101563</v>
      </c>
      <c r="F230">
        <f t="shared" si="8"/>
        <v>7.1622234694518117E-2</v>
      </c>
      <c r="G230">
        <f t="shared" si="8"/>
        <v>8.3143209312204439E-2</v>
      </c>
      <c r="K230">
        <v>9.7816543579101563</v>
      </c>
      <c r="L230" s="15">
        <v>10.022078514099119</v>
      </c>
      <c r="M230" s="15">
        <v>9.6469449996948242</v>
      </c>
      <c r="O230" s="11">
        <f t="shared" si="7"/>
        <v>8.3143209312204439E-2</v>
      </c>
      <c r="P230" s="11">
        <f>(L230-$D230)^2</f>
        <v>2.2964688109483331E-3</v>
      </c>
      <c r="Q230" s="11">
        <f>(M230-$D230)^2</f>
        <v>0.17897553328321253</v>
      </c>
    </row>
    <row r="231" spans="1:17" x14ac:dyDescent="0.25">
      <c r="A231" s="3">
        <v>46190</v>
      </c>
      <c r="B231" s="4">
        <v>15</v>
      </c>
      <c r="C231" s="5">
        <v>12.137121840523873</v>
      </c>
      <c r="D231" s="6">
        <v>11.34</v>
      </c>
      <c r="E231">
        <v>11.258134841918951</v>
      </c>
      <c r="F231">
        <f t="shared" si="8"/>
        <v>0.63540322864016741</v>
      </c>
      <c r="G231">
        <f t="shared" si="8"/>
        <v>6.7019041076351775E-3</v>
      </c>
      <c r="K231">
        <v>11.258134841918951</v>
      </c>
      <c r="L231" s="15">
        <v>11.77353477478027</v>
      </c>
      <c r="M231" s="15">
        <v>10.98496627807617</v>
      </c>
      <c r="O231" s="11">
        <f t="shared" si="7"/>
        <v>6.7019041076351775E-3</v>
      </c>
      <c r="P231" s="11">
        <f>(L231-$D231)^2</f>
        <v>0.18795240094377946</v>
      </c>
      <c r="Q231" s="11">
        <f>(M231-$D231)^2</f>
        <v>0.12604894370308728</v>
      </c>
    </row>
    <row r="232" spans="1:17" x14ac:dyDescent="0.25">
      <c r="A232" s="3">
        <v>46190</v>
      </c>
      <c r="B232" s="4">
        <v>16</v>
      </c>
      <c r="C232" s="5">
        <v>14.37514303517338</v>
      </c>
      <c r="D232" s="6">
        <v>13.73</v>
      </c>
      <c r="E232">
        <v>13.51958560943604</v>
      </c>
      <c r="F232">
        <f t="shared" si="8"/>
        <v>0.41620953583272075</v>
      </c>
      <c r="G232">
        <f t="shared" si="8"/>
        <v>4.4274215756402675E-2</v>
      </c>
      <c r="K232">
        <v>13.51958560943604</v>
      </c>
      <c r="L232" s="15">
        <v>14.05657291412354</v>
      </c>
      <c r="M232" s="15">
        <v>13.36677360534668</v>
      </c>
      <c r="O232" s="11">
        <f t="shared" si="7"/>
        <v>4.4274215756402675E-2</v>
      </c>
      <c r="P232" s="11">
        <f>(L232-$D232)^2</f>
        <v>0.10664986823914108</v>
      </c>
      <c r="Q232" s="11">
        <f>(M232-$D232)^2</f>
        <v>0.13193341377284992</v>
      </c>
    </row>
    <row r="233" spans="1:17" x14ac:dyDescent="0.25">
      <c r="A233" s="3">
        <v>46190</v>
      </c>
      <c r="B233" s="4">
        <v>17</v>
      </c>
      <c r="C233" s="5">
        <v>16.690655981376988</v>
      </c>
      <c r="D233" s="6">
        <v>15.47</v>
      </c>
      <c r="E233">
        <v>15.26717948913574</v>
      </c>
      <c r="F233">
        <f t="shared" si="8"/>
        <v>1.4900010248714164</v>
      </c>
      <c r="G233">
        <f t="shared" si="8"/>
        <v>4.1136159627239502E-2</v>
      </c>
      <c r="K233">
        <v>15.26717948913574</v>
      </c>
      <c r="L233" s="15">
        <v>15.857234954833981</v>
      </c>
      <c r="M233" s="15">
        <v>15.041389465332029</v>
      </c>
      <c r="O233" s="11">
        <f t="shared" si="7"/>
        <v>4.1136159627239502E-2</v>
      </c>
      <c r="P233" s="11">
        <f>(L233-$D233)^2</f>
        <v>0.14995091024527468</v>
      </c>
      <c r="Q233" s="11">
        <f>(M233-$D233)^2</f>
        <v>0.18370699042836411</v>
      </c>
    </row>
    <row r="234" spans="1:17" x14ac:dyDescent="0.25">
      <c r="A234" s="3">
        <v>46190</v>
      </c>
      <c r="B234" s="4">
        <v>18</v>
      </c>
      <c r="C234" s="5">
        <v>18.705856728126346</v>
      </c>
      <c r="D234" s="6">
        <v>17.03</v>
      </c>
      <c r="E234">
        <v>17.442619323730469</v>
      </c>
      <c r="F234">
        <f t="shared" si="8"/>
        <v>2.8084957732063369</v>
      </c>
      <c r="G234">
        <f t="shared" si="8"/>
        <v>0.17025470631578843</v>
      </c>
      <c r="K234">
        <v>17.442619323730469</v>
      </c>
      <c r="L234" s="15">
        <v>17.62216758728027</v>
      </c>
      <c r="M234" s="15">
        <v>16.81075477600098</v>
      </c>
      <c r="O234" s="11">
        <f t="shared" si="7"/>
        <v>0.17025470631578843</v>
      </c>
      <c r="P234" s="11">
        <f>(L234-$D234)^2</f>
        <v>0.3506624514253347</v>
      </c>
      <c r="Q234" s="11">
        <f>(M234-$D234)^2</f>
        <v>4.8068468246380905E-2</v>
      </c>
    </row>
    <row r="235" spans="1:17" x14ac:dyDescent="0.25">
      <c r="A235" s="3">
        <v>46190</v>
      </c>
      <c r="B235" s="4">
        <v>19</v>
      </c>
      <c r="C235" s="5">
        <v>22.182947916732914</v>
      </c>
      <c r="D235" s="6">
        <v>21.88</v>
      </c>
      <c r="E235">
        <v>21.088565826416019</v>
      </c>
      <c r="F235">
        <f t="shared" si="8"/>
        <v>9.1777440252813189E-2</v>
      </c>
      <c r="G235">
        <f t="shared" si="8"/>
        <v>0.62636805111655713</v>
      </c>
      <c r="K235">
        <v>21.088565826416019</v>
      </c>
      <c r="L235" s="15">
        <v>21.615907669067379</v>
      </c>
      <c r="M235" s="15">
        <v>20.367607116699219</v>
      </c>
      <c r="O235" s="11">
        <f t="shared" si="7"/>
        <v>0.62636805111655713</v>
      </c>
      <c r="P235" s="11">
        <f>(L235-$D235)^2</f>
        <v>6.9744759257424349E-2</v>
      </c>
      <c r="Q235" s="11">
        <f>(M235-$D235)^2</f>
        <v>2.2873322334588475</v>
      </c>
    </row>
    <row r="236" spans="1:17" x14ac:dyDescent="0.25">
      <c r="A236" s="3">
        <v>46190</v>
      </c>
      <c r="B236" s="4">
        <v>20</v>
      </c>
      <c r="C236" s="5">
        <v>24.801730734153981</v>
      </c>
      <c r="D236" s="6">
        <v>24.49</v>
      </c>
      <c r="E236">
        <v>23.991521835327148</v>
      </c>
      <c r="F236">
        <f t="shared" si="8"/>
        <v>9.7176050616181092E-2</v>
      </c>
      <c r="G236">
        <f t="shared" si="8"/>
        <v>0.24848048065561296</v>
      </c>
      <c r="K236">
        <v>23.991521835327148</v>
      </c>
      <c r="L236" s="15">
        <v>24.873428344726559</v>
      </c>
      <c r="M236" s="15">
        <v>23.272861480712891</v>
      </c>
      <c r="O236" s="11">
        <f t="shared" si="7"/>
        <v>0.24848048065561296</v>
      </c>
      <c r="P236" s="11">
        <f>(L236-$D236)^2</f>
        <v>0.14701729553975013</v>
      </c>
      <c r="Q236" s="11">
        <f>(M236-$D236)^2</f>
        <v>1.4814261751324134</v>
      </c>
    </row>
    <row r="237" spans="1:17" x14ac:dyDescent="0.25">
      <c r="A237" s="3">
        <v>46190</v>
      </c>
      <c r="B237" s="4">
        <v>21</v>
      </c>
      <c r="C237" s="5">
        <v>25.674405760344555</v>
      </c>
      <c r="D237" s="6">
        <v>25.62</v>
      </c>
      <c r="E237">
        <v>25.3509635925293</v>
      </c>
      <c r="F237">
        <f t="shared" si="8"/>
        <v>2.9599867586690954E-3</v>
      </c>
      <c r="G237">
        <f t="shared" si="8"/>
        <v>7.2380588544740831E-2</v>
      </c>
      <c r="K237">
        <v>25.3509635925293</v>
      </c>
      <c r="L237" s="15">
        <v>25.575107574462891</v>
      </c>
      <c r="M237" s="15">
        <v>24.28150749206543</v>
      </c>
      <c r="O237" s="11">
        <f t="shared" si="7"/>
        <v>7.2380588544740831E-2</v>
      </c>
      <c r="P237" s="11">
        <f>(L237-$D237)^2</f>
        <v>2.0153298706049993E-3</v>
      </c>
      <c r="Q237" s="11">
        <f>(M237-$D237)^2</f>
        <v>1.7915621937969783</v>
      </c>
    </row>
    <row r="238" spans="1:17" x14ac:dyDescent="0.25">
      <c r="A238" s="3">
        <v>46190</v>
      </c>
      <c r="B238" s="4">
        <v>22</v>
      </c>
      <c r="C238" s="5">
        <v>22.988121525671879</v>
      </c>
      <c r="D238" s="6">
        <v>24.43</v>
      </c>
      <c r="E238">
        <v>24.26988410949707</v>
      </c>
      <c r="F238">
        <f t="shared" si="8"/>
        <v>2.0790135347307892</v>
      </c>
      <c r="G238">
        <f t="shared" si="8"/>
        <v>2.5637098391546077E-2</v>
      </c>
      <c r="K238">
        <v>24.26988410949707</v>
      </c>
      <c r="L238" s="15">
        <v>24.3392333984375</v>
      </c>
      <c r="M238" s="15">
        <v>23.400461196899411</v>
      </c>
      <c r="O238" s="11">
        <f t="shared" si="7"/>
        <v>2.5637098391546077E-2</v>
      </c>
      <c r="P238" s="11">
        <f>(L238-$D238)^2</f>
        <v>8.2385759592055758E-3</v>
      </c>
      <c r="Q238" s="11">
        <f>(M238-$D238)^2</f>
        <v>1.0599501470897938</v>
      </c>
    </row>
    <row r="239" spans="1:17" x14ac:dyDescent="0.25">
      <c r="A239" s="3">
        <v>46190</v>
      </c>
      <c r="B239" s="4">
        <v>23</v>
      </c>
      <c r="C239" s="5">
        <v>14.674205298028845</v>
      </c>
      <c r="D239" s="6">
        <v>17.84</v>
      </c>
      <c r="E239">
        <v>16.439395904541019</v>
      </c>
      <c r="F239">
        <f t="shared" si="8"/>
        <v>10.022256095028634</v>
      </c>
      <c r="G239">
        <f t="shared" si="8"/>
        <v>1.9616918322164694</v>
      </c>
      <c r="K239">
        <v>16.439395904541019</v>
      </c>
      <c r="L239" s="15">
        <v>16.523662567138668</v>
      </c>
      <c r="M239" s="15">
        <v>17.222929000854489</v>
      </c>
      <c r="O239" s="11">
        <f t="shared" si="7"/>
        <v>1.9616918322164694</v>
      </c>
      <c r="P239" s="11">
        <f>(L239-$D239)^2</f>
        <v>1.7327442371519606</v>
      </c>
      <c r="Q239" s="11">
        <f>(M239-$D239)^2</f>
        <v>0.38077661798643953</v>
      </c>
    </row>
    <row r="240" spans="1:17" x14ac:dyDescent="0.25">
      <c r="A240" s="3">
        <v>46190</v>
      </c>
      <c r="B240" s="4">
        <v>24</v>
      </c>
      <c r="C240" s="5">
        <v>8.7543112755417187</v>
      </c>
      <c r="D240" s="6">
        <v>10.11</v>
      </c>
      <c r="E240">
        <v>9.4136848449707031</v>
      </c>
      <c r="F240">
        <f t="shared" si="8"/>
        <v>1.8378919176233202</v>
      </c>
      <c r="G240">
        <f t="shared" si="8"/>
        <v>0.48485479512347296</v>
      </c>
      <c r="K240">
        <v>9.4136848449707031</v>
      </c>
      <c r="L240" s="15">
        <v>9.5256795883178711</v>
      </c>
      <c r="M240" s="15">
        <v>9.6746139526367188</v>
      </c>
      <c r="O240" s="11">
        <f t="shared" si="7"/>
        <v>0.48485479512347296</v>
      </c>
      <c r="P240" s="11">
        <f>(L240-$D240)^2</f>
        <v>0.34143034350837193</v>
      </c>
      <c r="Q240" s="11">
        <f>(M240-$D240)^2</f>
        <v>0.18956101023862088</v>
      </c>
    </row>
    <row r="241" spans="1:17" x14ac:dyDescent="0.25">
      <c r="A241" s="3">
        <v>46190</v>
      </c>
      <c r="B241" s="4">
        <v>25</v>
      </c>
      <c r="C241" s="5">
        <v>5.4195581462607452</v>
      </c>
      <c r="D241" s="6">
        <v>5.87</v>
      </c>
      <c r="E241">
        <v>5.7557883262634277</v>
      </c>
      <c r="F241">
        <f t="shared" si="8"/>
        <v>0.20289786360005635</v>
      </c>
      <c r="G241">
        <f t="shared" si="8"/>
        <v>1.3044306417709255E-2</v>
      </c>
      <c r="K241">
        <v>5.7557883262634277</v>
      </c>
      <c r="L241" s="15">
        <v>5.6892890930175781</v>
      </c>
      <c r="M241" s="15">
        <v>6.1312036514282227</v>
      </c>
      <c r="O241" s="11">
        <f t="shared" si="7"/>
        <v>1.3044306417709255E-2</v>
      </c>
      <c r="P241" s="11">
        <f>(L241-$D241)^2</f>
        <v>3.265643190240957E-2</v>
      </c>
      <c r="Q241" s="11">
        <f>(M241-$D241)^2</f>
        <v>6.822734751943639E-2</v>
      </c>
    </row>
    <row r="242" spans="1:17" x14ac:dyDescent="0.25">
      <c r="A242" s="3">
        <v>46190</v>
      </c>
      <c r="B242" s="4">
        <v>26</v>
      </c>
      <c r="C242" s="5">
        <v>3.1594540187710698</v>
      </c>
      <c r="D242" s="6">
        <v>3.77</v>
      </c>
      <c r="E242">
        <v>3.669586181640625</v>
      </c>
      <c r="F242">
        <f t="shared" si="8"/>
        <v>0.37276639519479721</v>
      </c>
      <c r="G242">
        <f t="shared" si="8"/>
        <v>1.008293491750956E-2</v>
      </c>
      <c r="K242">
        <v>3.669586181640625</v>
      </c>
      <c r="L242" s="15">
        <v>3.5453591346740718</v>
      </c>
      <c r="M242" s="15">
        <v>4.2471861839294434</v>
      </c>
      <c r="O242" s="11">
        <f t="shared" si="7"/>
        <v>1.008293491750956E-2</v>
      </c>
      <c r="P242" s="11">
        <f>(L242-$D242)^2</f>
        <v>5.0463518374381809E-2</v>
      </c>
      <c r="Q242" s="11">
        <f>(M242-$D242)^2</f>
        <v>0.22770665413314453</v>
      </c>
    </row>
    <row r="243" spans="1:17" x14ac:dyDescent="0.25">
      <c r="A243" s="3">
        <v>46190</v>
      </c>
      <c r="B243" s="4">
        <v>27</v>
      </c>
      <c r="C243" s="5">
        <v>2.0537242676565008</v>
      </c>
      <c r="D243" s="6">
        <v>2.48</v>
      </c>
      <c r="E243">
        <v>2.461570024490356</v>
      </c>
      <c r="F243">
        <f t="shared" si="8"/>
        <v>0.18171099998498652</v>
      </c>
      <c r="G243">
        <f t="shared" si="8"/>
        <v>3.3966399728607694E-4</v>
      </c>
      <c r="K243">
        <v>2.461570024490356</v>
      </c>
      <c r="L243" s="15">
        <v>2.3811872005462651</v>
      </c>
      <c r="M243" s="15">
        <v>2.8486077785491939</v>
      </c>
      <c r="O243" s="11">
        <f t="shared" si="7"/>
        <v>3.3966399728607694E-4</v>
      </c>
      <c r="P243" s="11">
        <f>(L243-$D243)^2</f>
        <v>9.7639693358840297E-3</v>
      </c>
      <c r="Q243" s="11">
        <f>(M243-$D243)^2</f>
        <v>0.13587169440697158</v>
      </c>
    </row>
    <row r="244" spans="1:17" x14ac:dyDescent="0.25">
      <c r="A244" s="3">
        <v>46190</v>
      </c>
      <c r="B244" s="4">
        <v>28</v>
      </c>
      <c r="C244" s="5">
        <v>1.695941609675137</v>
      </c>
      <c r="D244" s="6">
        <v>2.09</v>
      </c>
      <c r="E244">
        <v>1.9648687839508061</v>
      </c>
      <c r="F244">
        <f t="shared" si="8"/>
        <v>0.15528201498542199</v>
      </c>
      <c r="G244">
        <f t="shared" si="8"/>
        <v>1.5657821229950002E-2</v>
      </c>
      <c r="K244">
        <v>1.9648687839508061</v>
      </c>
      <c r="L244" s="15">
        <v>1.8484904766082759</v>
      </c>
      <c r="M244" s="15">
        <v>2.3038253784179692</v>
      </c>
      <c r="O244" s="11">
        <f t="shared" si="7"/>
        <v>1.5657821229950002E-2</v>
      </c>
      <c r="P244" s="11">
        <f>(L244-$D244)^2</f>
        <v>5.832684988889765E-2</v>
      </c>
      <c r="Q244" s="11">
        <f>(M244-$D244)^2</f>
        <v>4.5721292455587786E-2</v>
      </c>
    </row>
    <row r="245" spans="1:17" x14ac:dyDescent="0.25">
      <c r="A245" s="7">
        <v>46190</v>
      </c>
      <c r="B245" s="4">
        <v>29</v>
      </c>
      <c r="C245" s="5">
        <v>2.1485668950135879</v>
      </c>
      <c r="D245" s="6">
        <v>2.64</v>
      </c>
      <c r="E245">
        <v>2.376275777816772</v>
      </c>
      <c r="F245">
        <f t="shared" si="8"/>
        <v>0.24150649667658608</v>
      </c>
      <c r="G245">
        <f t="shared" si="8"/>
        <v>6.9550465366148659E-2</v>
      </c>
      <c r="K245">
        <v>2.376275777816772</v>
      </c>
      <c r="L245" s="15">
        <v>2.2059307098388672</v>
      </c>
      <c r="M245" s="15">
        <v>2.68604564666748</v>
      </c>
      <c r="O245" s="11">
        <f t="shared" si="7"/>
        <v>6.9550465366148659E-2</v>
      </c>
      <c r="P245" s="11">
        <f>(L245-$D245)^2</f>
        <v>0.18841614866098982</v>
      </c>
      <c r="Q245" s="11">
        <f>(M245-$D245)^2</f>
        <v>2.1202015770264027E-3</v>
      </c>
    </row>
    <row r="246" spans="1:17" x14ac:dyDescent="0.25">
      <c r="A246" s="3">
        <v>46191</v>
      </c>
      <c r="B246" s="4">
        <v>6</v>
      </c>
      <c r="C246" s="5">
        <v>3.834680828189128</v>
      </c>
      <c r="D246" s="6">
        <v>3.96</v>
      </c>
      <c r="E246">
        <v>3.8621807098388672</v>
      </c>
      <c r="F246">
        <f t="shared" si="8"/>
        <v>1.5704894823362837E-2</v>
      </c>
      <c r="G246">
        <f t="shared" si="8"/>
        <v>9.5686135276278877E-3</v>
      </c>
      <c r="K246">
        <v>3.8621807098388672</v>
      </c>
      <c r="L246" s="15">
        <v>3.615582942962646</v>
      </c>
      <c r="M246" s="15">
        <v>3.9141368865966801</v>
      </c>
      <c r="O246" s="11">
        <f t="shared" si="7"/>
        <v>9.5686135276278877E-3</v>
      </c>
      <c r="P246" s="11">
        <f>(L246-$D246)^2</f>
        <v>0.1186231091782719</v>
      </c>
      <c r="Q246" s="11">
        <f>(M246-$D246)^2</f>
        <v>2.1034251710457751E-3</v>
      </c>
    </row>
    <row r="247" spans="1:17" x14ac:dyDescent="0.25">
      <c r="A247" s="3">
        <v>46191</v>
      </c>
      <c r="B247" s="4">
        <v>7</v>
      </c>
      <c r="C247" s="5">
        <v>5.8827375652565186</v>
      </c>
      <c r="D247" s="6">
        <v>5.59</v>
      </c>
      <c r="E247">
        <v>5.5391597747802734</v>
      </c>
      <c r="F247">
        <f t="shared" si="8"/>
        <v>8.5695282112314558E-2</v>
      </c>
      <c r="G247">
        <f t="shared" si="8"/>
        <v>2.5847285003925062E-3</v>
      </c>
      <c r="K247">
        <v>5.5391597747802734</v>
      </c>
      <c r="L247" s="15">
        <v>5.3527355194091797</v>
      </c>
      <c r="M247" s="15">
        <v>5.5570559501647949</v>
      </c>
      <c r="O247" s="11">
        <f t="shared" si="7"/>
        <v>2.5847285003925062E-3</v>
      </c>
      <c r="P247" s="11">
        <f>(L247-$D247)^2</f>
        <v>5.629443375003168E-2</v>
      </c>
      <c r="Q247" s="11">
        <f>(M247-$D247)^2</f>
        <v>1.0853104195444664E-3</v>
      </c>
    </row>
    <row r="248" spans="1:17" x14ac:dyDescent="0.25">
      <c r="A248" s="3">
        <v>46191</v>
      </c>
      <c r="B248" s="4">
        <v>8</v>
      </c>
      <c r="C248" s="5">
        <v>7.6029615011133336</v>
      </c>
      <c r="D248" s="6">
        <v>7.14</v>
      </c>
      <c r="E248">
        <v>7.2493972778320313</v>
      </c>
      <c r="F248">
        <f t="shared" si="8"/>
        <v>0.21433335151311148</v>
      </c>
      <c r="G248">
        <f t="shared" si="8"/>
        <v>1.1967764397058706E-2</v>
      </c>
      <c r="K248">
        <v>7.2493972778320313</v>
      </c>
      <c r="L248" s="15">
        <v>7.1675376892089844</v>
      </c>
      <c r="M248" s="15">
        <v>7.3216934204101563</v>
      </c>
      <c r="O248" s="11">
        <f t="shared" si="7"/>
        <v>1.1967764397058706E-2</v>
      </c>
      <c r="P248" s="11">
        <f>(L248-$D248)^2</f>
        <v>7.583243269706321E-4</v>
      </c>
      <c r="Q248" s="11">
        <f>(M248-$D248)^2</f>
        <v>3.3012499020341902E-2</v>
      </c>
    </row>
    <row r="249" spans="1:17" x14ac:dyDescent="0.25">
      <c r="A249" s="3">
        <v>46191</v>
      </c>
      <c r="B249" s="4">
        <v>9</v>
      </c>
      <c r="C249" s="5">
        <v>8.8279150147993235</v>
      </c>
      <c r="D249" s="6">
        <v>8.09</v>
      </c>
      <c r="E249">
        <v>8.6572580337524414</v>
      </c>
      <c r="F249">
        <f t="shared" si="8"/>
        <v>0.54451856906628604</v>
      </c>
      <c r="G249">
        <f t="shared" si="8"/>
        <v>0.32178167685668613</v>
      </c>
      <c r="K249">
        <v>8.6572580337524414</v>
      </c>
      <c r="L249" s="15">
        <v>8.4496316909790039</v>
      </c>
      <c r="M249" s="15">
        <v>8.0678291320800781</v>
      </c>
      <c r="O249" s="11">
        <f t="shared" si="7"/>
        <v>0.32178167685668613</v>
      </c>
      <c r="P249" s="11">
        <f>(L249-$D249)^2</f>
        <v>0.12933495315641785</v>
      </c>
      <c r="Q249" s="11">
        <f>(M249-$D249)^2</f>
        <v>4.9154738432261459E-4</v>
      </c>
    </row>
    <row r="250" spans="1:17" x14ac:dyDescent="0.25">
      <c r="A250" s="3">
        <v>46191</v>
      </c>
      <c r="B250" s="4">
        <v>10</v>
      </c>
      <c r="C250" s="5">
        <v>9.2412631674874532</v>
      </c>
      <c r="D250" s="6">
        <v>9.5</v>
      </c>
      <c r="E250">
        <v>8.9834699630737305</v>
      </c>
      <c r="F250">
        <f t="shared" si="8"/>
        <v>6.6944748498625667E-2</v>
      </c>
      <c r="G250">
        <f t="shared" si="8"/>
        <v>0.26680327904705337</v>
      </c>
      <c r="K250">
        <v>8.9834699630737305</v>
      </c>
      <c r="L250" s="15">
        <v>8.7378683090209961</v>
      </c>
      <c r="M250" s="15">
        <v>8.033848762512207</v>
      </c>
      <c r="O250" s="11">
        <f t="shared" si="7"/>
        <v>0.26680327904705337</v>
      </c>
      <c r="P250" s="11">
        <f>(L250-$D250)^2</f>
        <v>0.5808447143945159</v>
      </c>
      <c r="Q250" s="11">
        <f>(M250-$D250)^2</f>
        <v>2.1495994511869867</v>
      </c>
    </row>
    <row r="251" spans="1:17" x14ac:dyDescent="0.25">
      <c r="A251" s="3">
        <v>46191</v>
      </c>
      <c r="B251" s="4">
        <v>11</v>
      </c>
      <c r="C251" s="5">
        <v>9.1954154412331022</v>
      </c>
      <c r="D251" s="6">
        <v>8.8800000000000008</v>
      </c>
      <c r="E251">
        <v>8.9940204620361328</v>
      </c>
      <c r="F251">
        <f t="shared" si="8"/>
        <v>9.948690056827203E-2</v>
      </c>
      <c r="G251">
        <f t="shared" si="8"/>
        <v>1.3000665762933026E-2</v>
      </c>
      <c r="K251">
        <v>8.9940204620361328</v>
      </c>
      <c r="L251" s="15">
        <v>8.7462692260742188</v>
      </c>
      <c r="M251" s="15">
        <v>7.7216768264770508</v>
      </c>
      <c r="O251" s="11">
        <f t="shared" si="7"/>
        <v>1.3000665762933026E-2</v>
      </c>
      <c r="P251" s="11">
        <f>(L251-$D251)^2</f>
        <v>1.7883919894788623E-2</v>
      </c>
      <c r="Q251" s="11">
        <f>(M251-$D251)^2</f>
        <v>1.3417125743202782</v>
      </c>
    </row>
    <row r="252" spans="1:17" x14ac:dyDescent="0.25">
      <c r="A252" s="3">
        <v>46191</v>
      </c>
      <c r="B252" s="4">
        <v>12</v>
      </c>
      <c r="C252" s="5">
        <v>8.9111307938001687</v>
      </c>
      <c r="D252" s="6">
        <v>9.59</v>
      </c>
      <c r="E252">
        <v>8.9288415908813477</v>
      </c>
      <c r="F252">
        <f t="shared" si="8"/>
        <v>0.46086339912638885</v>
      </c>
      <c r="G252">
        <f t="shared" si="8"/>
        <v>0.43713044194830708</v>
      </c>
      <c r="K252">
        <v>8.9288415908813477</v>
      </c>
      <c r="L252" s="15">
        <v>8.8458681106567383</v>
      </c>
      <c r="M252" s="15">
        <v>7.4878110885620117</v>
      </c>
      <c r="O252" s="11">
        <f t="shared" si="7"/>
        <v>0.43713044194830708</v>
      </c>
      <c r="P252" s="11">
        <f>(L252-$D252)^2</f>
        <v>0.55373226873757209</v>
      </c>
      <c r="Q252" s="11">
        <f>(M252-$D252)^2</f>
        <v>4.4191982193728334</v>
      </c>
    </row>
    <row r="253" spans="1:17" x14ac:dyDescent="0.25">
      <c r="A253" s="3">
        <v>46191</v>
      </c>
      <c r="B253" s="4">
        <v>13</v>
      </c>
      <c r="C253" s="5">
        <v>9.1030013723254299</v>
      </c>
      <c r="D253" s="6">
        <v>9.64</v>
      </c>
      <c r="E253">
        <v>9.1103363037109375</v>
      </c>
      <c r="F253">
        <f t="shared" si="8"/>
        <v>0.28836752612437211</v>
      </c>
      <c r="G253">
        <f t="shared" si="8"/>
        <v>0.28054363116659287</v>
      </c>
      <c r="K253">
        <v>9.1103363037109375</v>
      </c>
      <c r="L253" s="15">
        <v>9.3455820083618164</v>
      </c>
      <c r="M253" s="15">
        <v>8.2029218673706055</v>
      </c>
      <c r="O253" s="11">
        <f t="shared" si="7"/>
        <v>0.28054363116659287</v>
      </c>
      <c r="P253" s="11">
        <f>(L253-$D253)^2</f>
        <v>8.6681953800261877E-2</v>
      </c>
      <c r="Q253" s="11">
        <f>(M253-$D253)^2</f>
        <v>2.0651935592815893</v>
      </c>
    </row>
    <row r="254" spans="1:17" x14ac:dyDescent="0.25">
      <c r="A254" s="3">
        <v>46191</v>
      </c>
      <c r="B254" s="4">
        <v>14</v>
      </c>
      <c r="C254" s="5">
        <v>10.541527679785606</v>
      </c>
      <c r="D254" s="6">
        <v>10.14</v>
      </c>
      <c r="E254">
        <v>9.9471511840820313</v>
      </c>
      <c r="F254">
        <f t="shared" si="8"/>
        <v>0.1612244776340116</v>
      </c>
      <c r="G254">
        <f t="shared" si="8"/>
        <v>3.7190665800962815E-2</v>
      </c>
      <c r="K254">
        <v>9.9471511840820313</v>
      </c>
      <c r="L254" s="15">
        <v>10.558163642883301</v>
      </c>
      <c r="M254" s="15">
        <v>9.5878019332885742</v>
      </c>
      <c r="O254" s="11">
        <f t="shared" si="7"/>
        <v>3.7190665800962815E-2</v>
      </c>
      <c r="P254" s="11">
        <f>(L254-$D254)^2</f>
        <v>0.17486083222943224</v>
      </c>
      <c r="Q254" s="11">
        <f>(M254-$D254)^2</f>
        <v>0.30492270487983686</v>
      </c>
    </row>
    <row r="255" spans="1:17" x14ac:dyDescent="0.25">
      <c r="A255" s="3">
        <v>46191</v>
      </c>
      <c r="B255" s="4">
        <v>15</v>
      </c>
      <c r="C255" s="5">
        <v>12.324846135472074</v>
      </c>
      <c r="D255" s="6">
        <v>11.91</v>
      </c>
      <c r="E255">
        <v>11.516940116882321</v>
      </c>
      <c r="F255">
        <f t="shared" si="8"/>
        <v>0.17209731611611387</v>
      </c>
      <c r="G255">
        <f t="shared" si="8"/>
        <v>0.15449607171648386</v>
      </c>
      <c r="K255">
        <v>11.516940116882321</v>
      </c>
      <c r="L255" s="15">
        <v>12.27380466461182</v>
      </c>
      <c r="M255" s="15">
        <v>11.309257507324221</v>
      </c>
      <c r="O255" s="11">
        <f t="shared" si="7"/>
        <v>0.15449607171648386</v>
      </c>
      <c r="P255" s="11">
        <f>(L255-$D255)^2</f>
        <v>0.13235383399331871</v>
      </c>
      <c r="Q255" s="11">
        <f>(M255-$D255)^2</f>
        <v>0.36089154250630912</v>
      </c>
    </row>
    <row r="256" spans="1:17" x14ac:dyDescent="0.25">
      <c r="A256" s="3">
        <v>46191</v>
      </c>
      <c r="B256" s="4">
        <v>16</v>
      </c>
      <c r="C256" s="5">
        <v>14.690038350034961</v>
      </c>
      <c r="D256" s="6">
        <v>14.07</v>
      </c>
      <c r="E256">
        <v>13.911947250366209</v>
      </c>
      <c r="F256">
        <f t="shared" si="8"/>
        <v>0.38444755551407583</v>
      </c>
      <c r="G256">
        <f t="shared" si="8"/>
        <v>2.498067166680186E-2</v>
      </c>
      <c r="K256">
        <v>13.911947250366209</v>
      </c>
      <c r="L256" s="15">
        <v>14.611770629882811</v>
      </c>
      <c r="M256" s="15">
        <v>13.426346778869631</v>
      </c>
      <c r="O256" s="11">
        <f t="shared" si="7"/>
        <v>2.498067166680186E-2</v>
      </c>
      <c r="P256" s="11">
        <f>(L256-$D256)^2</f>
        <v>0.2935154154036172</v>
      </c>
      <c r="Q256" s="11">
        <f>(M256-$D256)^2</f>
        <v>0.41428946907150049</v>
      </c>
    </row>
    <row r="257" spans="1:17" x14ac:dyDescent="0.25">
      <c r="A257" s="3">
        <v>46191</v>
      </c>
      <c r="B257" s="4">
        <v>17</v>
      </c>
      <c r="C257" s="5">
        <v>16.534492377247492</v>
      </c>
      <c r="D257" s="6">
        <v>15.59</v>
      </c>
      <c r="E257">
        <v>15.73593711853027</v>
      </c>
      <c r="F257">
        <f t="shared" si="8"/>
        <v>0.89206585067861921</v>
      </c>
      <c r="G257">
        <f t="shared" si="8"/>
        <v>2.1297642564918083E-2</v>
      </c>
      <c r="K257">
        <v>15.73593711853027</v>
      </c>
      <c r="L257" s="15">
        <v>16.37702751159668</v>
      </c>
      <c r="M257" s="15">
        <v>15.20903396606445</v>
      </c>
      <c r="O257" s="11">
        <f t="shared" si="7"/>
        <v>2.1297642564918083E-2</v>
      </c>
      <c r="P257" s="11">
        <f>(L257-$D257)^2</f>
        <v>0.61941230401006198</v>
      </c>
      <c r="Q257" s="11">
        <f>(M257-$D257)^2</f>
        <v>0.14513511901258286</v>
      </c>
    </row>
    <row r="258" spans="1:17" x14ac:dyDescent="0.25">
      <c r="A258" s="3">
        <v>46191</v>
      </c>
      <c r="B258" s="4">
        <v>18</v>
      </c>
      <c r="C258" s="5">
        <v>18.51606559954768</v>
      </c>
      <c r="D258" s="6">
        <v>18.3</v>
      </c>
      <c r="E258">
        <v>18.079721450805661</v>
      </c>
      <c r="F258">
        <f t="shared" si="8"/>
        <v>4.6684343307898182E-2</v>
      </c>
      <c r="G258">
        <f t="shared" si="8"/>
        <v>4.8522639235163353E-2</v>
      </c>
      <c r="K258">
        <v>18.079721450805661</v>
      </c>
      <c r="L258" s="15">
        <v>18.842315673828121</v>
      </c>
      <c r="M258" s="15">
        <v>17.61431884765625</v>
      </c>
      <c r="O258" s="11">
        <f t="shared" ref="O258:O321" si="9">(K258-$D258)^2</f>
        <v>4.8522639235163353E-2</v>
      </c>
      <c r="P258" s="11">
        <f>(L258-$D258)^2</f>
        <v>0.29410629007964861</v>
      </c>
      <c r="Q258" s="11">
        <f>(M258-$D258)^2</f>
        <v>0.4701586426794539</v>
      </c>
    </row>
    <row r="259" spans="1:17" x14ac:dyDescent="0.25">
      <c r="A259" s="3">
        <v>46191</v>
      </c>
      <c r="B259" s="4">
        <v>19</v>
      </c>
      <c r="C259" s="5">
        <v>22.286449600101669</v>
      </c>
      <c r="D259" s="6">
        <v>22.51</v>
      </c>
      <c r="E259">
        <v>21.485345840454102</v>
      </c>
      <c r="F259">
        <f t="shared" ref="F259:G322" si="10">(C259-D259)^2</f>
        <v>4.9974781294704416E-2</v>
      </c>
      <c r="G259">
        <f t="shared" si="10"/>
        <v>1.0499161466747147</v>
      </c>
      <c r="K259">
        <v>21.485345840454102</v>
      </c>
      <c r="L259" s="15">
        <v>22.300447463989261</v>
      </c>
      <c r="M259" s="15">
        <v>21.322360992431641</v>
      </c>
      <c r="O259" s="11">
        <f t="shared" si="9"/>
        <v>1.0499161466747147</v>
      </c>
      <c r="P259" s="11">
        <f>(L259-$D259)^2</f>
        <v>4.391226534853257E-2</v>
      </c>
      <c r="Q259" s="11">
        <f>(M259-$D259)^2</f>
        <v>1.4104864122979612</v>
      </c>
    </row>
    <row r="260" spans="1:17" x14ac:dyDescent="0.25">
      <c r="A260" s="3">
        <v>46191</v>
      </c>
      <c r="B260" s="4">
        <v>20</v>
      </c>
      <c r="C260" s="5">
        <v>24.928708692362193</v>
      </c>
      <c r="D260" s="6">
        <v>23.77</v>
      </c>
      <c r="E260">
        <v>23.94184684753418</v>
      </c>
      <c r="F260">
        <f t="shared" si="10"/>
        <v>1.3426058337557036</v>
      </c>
      <c r="G260">
        <f t="shared" si="10"/>
        <v>2.9531339007435747E-2</v>
      </c>
      <c r="K260">
        <v>23.94184684753418</v>
      </c>
      <c r="L260" s="15">
        <v>24.47037315368652</v>
      </c>
      <c r="M260" s="15">
        <v>23.582685470581051</v>
      </c>
      <c r="O260" s="11">
        <f t="shared" si="9"/>
        <v>2.9531339007435747E-2</v>
      </c>
      <c r="P260" s="11">
        <f>(L260-$D260)^2</f>
        <v>0.49052255440480219</v>
      </c>
      <c r="Q260" s="11">
        <f>(M260-$D260)^2</f>
        <v>3.5086732931442099E-2</v>
      </c>
    </row>
    <row r="261" spans="1:17" x14ac:dyDescent="0.25">
      <c r="A261" s="3">
        <v>46191</v>
      </c>
      <c r="B261" s="4">
        <v>21</v>
      </c>
      <c r="C261" s="5">
        <v>25.740932542458733</v>
      </c>
      <c r="D261" s="6">
        <v>25.89</v>
      </c>
      <c r="E261">
        <v>25.7631950378418</v>
      </c>
      <c r="F261">
        <f t="shared" si="10"/>
        <v>2.222110689781762E-2</v>
      </c>
      <c r="G261">
        <f t="shared" si="10"/>
        <v>1.6079498427942571E-2</v>
      </c>
      <c r="K261">
        <v>25.7631950378418</v>
      </c>
      <c r="L261" s="15">
        <v>25.938467025756839</v>
      </c>
      <c r="M261" s="15">
        <v>25.072538375854489</v>
      </c>
      <c r="O261" s="11">
        <f t="shared" si="9"/>
        <v>1.6079498427942571E-2</v>
      </c>
      <c r="P261" s="11">
        <f>(L261-$D261)^2</f>
        <v>2.3490525857140874E-3</v>
      </c>
      <c r="Q261" s="11">
        <f>(M261-$D261)^2</f>
        <v>0.66824350695061818</v>
      </c>
    </row>
    <row r="262" spans="1:17" x14ac:dyDescent="0.25">
      <c r="A262" s="3">
        <v>46191</v>
      </c>
      <c r="B262" s="4">
        <v>22</v>
      </c>
      <c r="C262" s="5">
        <v>22.67457678626641</v>
      </c>
      <c r="D262" s="6">
        <v>23.28</v>
      </c>
      <c r="E262">
        <v>23.937589645385739</v>
      </c>
      <c r="F262">
        <f t="shared" si="10"/>
        <v>0.36653726772750927</v>
      </c>
      <c r="G262">
        <f t="shared" si="10"/>
        <v>0.43242414171853999</v>
      </c>
      <c r="K262">
        <v>23.937589645385739</v>
      </c>
      <c r="L262" s="15">
        <v>23.509233474731449</v>
      </c>
      <c r="M262" s="15">
        <v>23.198945999145511</v>
      </c>
      <c r="O262" s="11">
        <f t="shared" si="9"/>
        <v>0.43242414171853999</v>
      </c>
      <c r="P262" s="11">
        <f>(L262-$D262)^2</f>
        <v>5.2547985937453287E-2</v>
      </c>
      <c r="Q262" s="11">
        <f>(M262-$D262)^2</f>
        <v>6.5697510545196288E-3</v>
      </c>
    </row>
    <row r="263" spans="1:17" x14ac:dyDescent="0.25">
      <c r="A263" s="3">
        <v>46191</v>
      </c>
      <c r="B263" s="4">
        <v>23</v>
      </c>
      <c r="C263" s="5">
        <v>14.568079086499994</v>
      </c>
      <c r="D263" s="6">
        <v>15.56</v>
      </c>
      <c r="E263">
        <v>15.406764984130859</v>
      </c>
      <c r="F263">
        <f t="shared" si="10"/>
        <v>0.98390709863868775</v>
      </c>
      <c r="G263">
        <f t="shared" si="10"/>
        <v>2.3480970088415931E-2</v>
      </c>
      <c r="K263">
        <v>15.406764984130859</v>
      </c>
      <c r="L263" s="15">
        <v>15.42976188659668</v>
      </c>
      <c r="M263" s="15">
        <v>15.74058151245117</v>
      </c>
      <c r="O263" s="11">
        <f t="shared" si="9"/>
        <v>2.3480970088415931E-2</v>
      </c>
      <c r="P263" s="11">
        <f>(L263-$D263)^2</f>
        <v>1.6961966182856253E-2</v>
      </c>
      <c r="Q263" s="11">
        <f>(M263-$D263)^2</f>
        <v>3.260968263915192E-2</v>
      </c>
    </row>
    <row r="264" spans="1:17" x14ac:dyDescent="0.25">
      <c r="A264" s="3">
        <v>46191</v>
      </c>
      <c r="B264" s="4">
        <v>24</v>
      </c>
      <c r="C264" s="5">
        <v>8.4860404848001334</v>
      </c>
      <c r="D264" s="6">
        <v>9.23</v>
      </c>
      <c r="E264">
        <v>9.6684846878051758</v>
      </c>
      <c r="F264">
        <f t="shared" si="10"/>
        <v>0.5534757602564212</v>
      </c>
      <c r="G264">
        <f t="shared" si="10"/>
        <v>0.19226882143960208</v>
      </c>
      <c r="K264">
        <v>9.6684846878051758</v>
      </c>
      <c r="L264" s="15">
        <v>9.5129737854003906</v>
      </c>
      <c r="M264" s="15">
        <v>10.20309543609619</v>
      </c>
      <c r="O264" s="11">
        <f t="shared" si="9"/>
        <v>0.19226882143960208</v>
      </c>
      <c r="P264" s="11">
        <f>(L264-$D264)^2</f>
        <v>8.0074163223826086E-2</v>
      </c>
      <c r="Q264" s="11">
        <f>(M264-$D264)^2</f>
        <v>0.94691472775123264</v>
      </c>
    </row>
    <row r="265" spans="1:17" x14ac:dyDescent="0.25">
      <c r="A265" s="3">
        <v>46191</v>
      </c>
      <c r="B265" s="4">
        <v>25</v>
      </c>
      <c r="C265" s="5">
        <v>4.9937017967165565</v>
      </c>
      <c r="D265" s="6">
        <v>5.7</v>
      </c>
      <c r="E265">
        <v>5.8758530616760254</v>
      </c>
      <c r="F265">
        <f t="shared" si="10"/>
        <v>0.49885715196142077</v>
      </c>
      <c r="G265">
        <f t="shared" si="10"/>
        <v>3.0924299300831928E-2</v>
      </c>
      <c r="K265">
        <v>5.8758530616760254</v>
      </c>
      <c r="L265" s="15">
        <v>5.6756000518798828</v>
      </c>
      <c r="M265" s="15">
        <v>6.3210639953613281</v>
      </c>
      <c r="O265" s="11">
        <f t="shared" si="9"/>
        <v>3.0924299300831928E-2</v>
      </c>
      <c r="P265" s="11">
        <f>(L265-$D265)^2</f>
        <v>5.9535746826441891E-4</v>
      </c>
      <c r="Q265" s="11">
        <f>(M265-$D265)^2</f>
        <v>0.38572048633417561</v>
      </c>
    </row>
    <row r="266" spans="1:17" x14ac:dyDescent="0.25">
      <c r="A266" s="3">
        <v>46191</v>
      </c>
      <c r="B266" s="4">
        <v>26</v>
      </c>
      <c r="C266" s="5">
        <v>3.2907801150735612</v>
      </c>
      <c r="D266" s="6">
        <v>3.53</v>
      </c>
      <c r="E266">
        <v>3.6482686996459961</v>
      </c>
      <c r="F266">
        <f t="shared" si="10"/>
        <v>5.7226153344218544E-2</v>
      </c>
      <c r="G266">
        <f t="shared" si="10"/>
        <v>1.3987485315954883E-2</v>
      </c>
      <c r="K266">
        <v>3.6482686996459961</v>
      </c>
      <c r="L266" s="15">
        <v>3.534518718719482</v>
      </c>
      <c r="M266" s="15">
        <v>4.0978512763977051</v>
      </c>
      <c r="O266" s="11">
        <f t="shared" si="9"/>
        <v>1.3987485315954883E-2</v>
      </c>
      <c r="P266" s="11">
        <f>(L266-$D266)^2</f>
        <v>2.0418818865798611E-5</v>
      </c>
      <c r="Q266" s="11">
        <f>(M266-$D266)^2</f>
        <v>0.32245507210650309</v>
      </c>
    </row>
    <row r="267" spans="1:17" x14ac:dyDescent="0.25">
      <c r="A267" s="3">
        <v>46191</v>
      </c>
      <c r="B267" s="4">
        <v>27</v>
      </c>
      <c r="C267" s="5">
        <v>2.3271703859849766</v>
      </c>
      <c r="D267" s="6">
        <v>2.5299999999999998</v>
      </c>
      <c r="E267">
        <v>2.533260583877563</v>
      </c>
      <c r="F267">
        <f t="shared" si="10"/>
        <v>4.1139852321483296E-2</v>
      </c>
      <c r="G267">
        <f t="shared" si="10"/>
        <v>1.0631407222625255E-5</v>
      </c>
      <c r="K267">
        <v>2.533260583877563</v>
      </c>
      <c r="L267" s="15">
        <v>2.4292068481445308</v>
      </c>
      <c r="M267" s="15">
        <v>3.0431642532348628</v>
      </c>
      <c r="O267" s="11">
        <f t="shared" si="9"/>
        <v>1.0631407222625255E-5</v>
      </c>
      <c r="P267" s="11">
        <f>(L267-$D267)^2</f>
        <v>1.0159259460959634E-2</v>
      </c>
      <c r="Q267" s="11">
        <f>(M267-$D267)^2</f>
        <v>0.26333755079809462</v>
      </c>
    </row>
    <row r="268" spans="1:17" x14ac:dyDescent="0.25">
      <c r="A268" s="3">
        <v>46191</v>
      </c>
      <c r="B268" s="4">
        <v>28</v>
      </c>
      <c r="C268" s="5">
        <v>1.9728058044827188</v>
      </c>
      <c r="D268" s="6">
        <v>2.27</v>
      </c>
      <c r="E268">
        <v>2.0017635822296138</v>
      </c>
      <c r="F268">
        <f t="shared" si="10"/>
        <v>8.8324389849163978E-2</v>
      </c>
      <c r="G268">
        <f t="shared" si="10"/>
        <v>7.1950775818289153E-2</v>
      </c>
      <c r="K268">
        <v>2.0017635822296138</v>
      </c>
      <c r="L268" s="15">
        <v>1.8855199813842769</v>
      </c>
      <c r="M268" s="15">
        <v>2.5005588531494141</v>
      </c>
      <c r="O268" s="11">
        <f t="shared" si="9"/>
        <v>7.1950775818289153E-2</v>
      </c>
      <c r="P268" s="11">
        <f>(L268-$D268)^2</f>
        <v>0.14782488471474681</v>
      </c>
      <c r="Q268" s="11">
        <f>(M268-$D268)^2</f>
        <v>5.3157384765573072E-2</v>
      </c>
    </row>
    <row r="269" spans="1:17" x14ac:dyDescent="0.25">
      <c r="A269" s="7">
        <v>46191</v>
      </c>
      <c r="B269" s="4">
        <v>29</v>
      </c>
      <c r="C269" s="5">
        <v>2.4616627004996929</v>
      </c>
      <c r="D269" s="6">
        <v>2.54</v>
      </c>
      <c r="E269">
        <v>2.293771505355835</v>
      </c>
      <c r="F269">
        <f t="shared" si="10"/>
        <v>6.1367324930008153E-3</v>
      </c>
      <c r="G269">
        <f t="shared" si="10"/>
        <v>6.0628471574731627E-2</v>
      </c>
      <c r="K269">
        <v>2.293771505355835</v>
      </c>
      <c r="L269" s="15">
        <v>2.1829578876495361</v>
      </c>
      <c r="M269" s="15">
        <v>2.5532088279724121</v>
      </c>
      <c r="O269" s="11">
        <f t="shared" si="9"/>
        <v>6.0628471574731627E-2</v>
      </c>
      <c r="P269" s="11">
        <f>(L269-$D269)^2</f>
        <v>0.12747906999168129</v>
      </c>
      <c r="Q269" s="11">
        <f>(M269-$D269)^2</f>
        <v>1.7447313640477565E-4</v>
      </c>
    </row>
    <row r="270" spans="1:17" x14ac:dyDescent="0.25">
      <c r="A270" s="3">
        <v>46192</v>
      </c>
      <c r="B270" s="4">
        <v>6</v>
      </c>
      <c r="C270" s="5">
        <v>3.9110541293258039</v>
      </c>
      <c r="D270" s="6">
        <v>3.66</v>
      </c>
      <c r="E270">
        <v>3.7834124565124512</v>
      </c>
      <c r="F270">
        <f t="shared" si="10"/>
        <v>6.3028175851537388E-2</v>
      </c>
      <c r="G270">
        <f t="shared" si="10"/>
        <v>1.5230634422437616E-2</v>
      </c>
      <c r="K270">
        <v>3.7834124565124512</v>
      </c>
      <c r="L270" s="15">
        <v>3.5275239944458008</v>
      </c>
      <c r="M270" s="15">
        <v>3.8440227508544922</v>
      </c>
      <c r="O270" s="11">
        <f t="shared" si="9"/>
        <v>1.5230634422437616E-2</v>
      </c>
      <c r="P270" s="11">
        <f>(L270-$D270)^2</f>
        <v>1.7549892047596261E-2</v>
      </c>
      <c r="Q270" s="11">
        <f>(M270-$D270)^2</f>
        <v>3.386437283205445E-2</v>
      </c>
    </row>
    <row r="271" spans="1:17" x14ac:dyDescent="0.25">
      <c r="A271" s="3">
        <v>46192</v>
      </c>
      <c r="B271" s="4">
        <v>7</v>
      </c>
      <c r="C271" s="5">
        <v>5.9423787654993916</v>
      </c>
      <c r="D271" s="6">
        <v>5.29</v>
      </c>
      <c r="E271">
        <v>5.481168270111084</v>
      </c>
      <c r="F271">
        <f t="shared" si="10"/>
        <v>0.42559805367451009</v>
      </c>
      <c r="G271">
        <f t="shared" si="10"/>
        <v>3.6545307497264354E-2</v>
      </c>
      <c r="K271">
        <v>5.481168270111084</v>
      </c>
      <c r="L271" s="15">
        <v>5.4609417915344238</v>
      </c>
      <c r="M271" s="15">
        <v>5.581812858581543</v>
      </c>
      <c r="O271" s="11">
        <f t="shared" si="9"/>
        <v>3.6545307497264354E-2</v>
      </c>
      <c r="P271" s="11">
        <f>(L271-$D271)^2</f>
        <v>2.9221096092998403E-2</v>
      </c>
      <c r="Q271" s="11">
        <f>(M271-$D271)^2</f>
        <v>8.5154744433531576E-2</v>
      </c>
    </row>
    <row r="272" spans="1:17" x14ac:dyDescent="0.25">
      <c r="A272" s="3">
        <v>46192</v>
      </c>
      <c r="B272" s="4">
        <v>8</v>
      </c>
      <c r="C272" s="5">
        <v>7.658948643691625</v>
      </c>
      <c r="D272" s="6">
        <v>7.05</v>
      </c>
      <c r="E272">
        <v>7.4135713577270508</v>
      </c>
      <c r="F272">
        <f t="shared" si="10"/>
        <v>0.37081845065386987</v>
      </c>
      <c r="G272">
        <f t="shared" si="10"/>
        <v>0.13218413215949126</v>
      </c>
      <c r="K272">
        <v>7.4135713577270508</v>
      </c>
      <c r="L272" s="15">
        <v>7.4054574966430664</v>
      </c>
      <c r="M272" s="15">
        <v>7.3353843688964844</v>
      </c>
      <c r="O272" s="11">
        <f t="shared" si="9"/>
        <v>0.13218413215949126</v>
      </c>
      <c r="P272" s="11">
        <f>(L272-$D272)^2</f>
        <v>0.12635003191975569</v>
      </c>
      <c r="Q272" s="11">
        <f>(M272-$D272)^2</f>
        <v>8.1444238010444786E-2</v>
      </c>
    </row>
    <row r="273" spans="1:17" x14ac:dyDescent="0.25">
      <c r="A273" s="3">
        <v>46192</v>
      </c>
      <c r="B273" s="4">
        <v>9</v>
      </c>
      <c r="C273" s="5">
        <v>9.1409608627811441</v>
      </c>
      <c r="D273" s="6">
        <v>7.9</v>
      </c>
      <c r="E273">
        <v>8.6502742767333984</v>
      </c>
      <c r="F273">
        <f t="shared" si="10"/>
        <v>1.5399838629545206</v>
      </c>
      <c r="G273">
        <f t="shared" si="10"/>
        <v>0.56291149032782362</v>
      </c>
      <c r="K273">
        <v>8.6502742767333984</v>
      </c>
      <c r="L273" s="15">
        <v>8.6429262161254883</v>
      </c>
      <c r="M273" s="15">
        <v>8.618290901184082</v>
      </c>
      <c r="O273" s="11">
        <f t="shared" si="9"/>
        <v>0.56291149032782362</v>
      </c>
      <c r="P273" s="11">
        <f>(L273-$D273)^2</f>
        <v>0.5519393626065352</v>
      </c>
      <c r="Q273" s="11">
        <f>(M273-$D273)^2</f>
        <v>0.51594181872384015</v>
      </c>
    </row>
    <row r="274" spans="1:17" x14ac:dyDescent="0.25">
      <c r="A274" s="3">
        <v>46192</v>
      </c>
      <c r="B274" s="4">
        <v>10</v>
      </c>
      <c r="C274" s="5">
        <v>9.3654247490939646</v>
      </c>
      <c r="D274" s="6">
        <v>8.34</v>
      </c>
      <c r="E274">
        <v>9.0289859771728516</v>
      </c>
      <c r="F274">
        <f t="shared" si="10"/>
        <v>1.0514959160544206</v>
      </c>
      <c r="G274">
        <f t="shared" si="10"/>
        <v>0.4747016767408293</v>
      </c>
      <c r="K274">
        <v>9.0289859771728516</v>
      </c>
      <c r="L274" s="15">
        <v>9.0289220809936523</v>
      </c>
      <c r="M274" s="15">
        <v>8.8033218383789063</v>
      </c>
      <c r="O274" s="11">
        <f t="shared" si="9"/>
        <v>0.4747016767408293</v>
      </c>
      <c r="P274" s="11">
        <f>(L274-$D274)^2</f>
        <v>0.4746136336806247</v>
      </c>
      <c r="Q274" s="11">
        <f>(M274-$D274)^2</f>
        <v>0.21466712591880946</v>
      </c>
    </row>
    <row r="275" spans="1:17" x14ac:dyDescent="0.25">
      <c r="A275" s="3">
        <v>46192</v>
      </c>
      <c r="B275" s="4">
        <v>11</v>
      </c>
      <c r="C275" s="5">
        <v>9.2130125509899727</v>
      </c>
      <c r="D275" s="6">
        <v>8.3000000000000007</v>
      </c>
      <c r="E275">
        <v>9.1154022216796875</v>
      </c>
      <c r="F275">
        <f t="shared" si="10"/>
        <v>0.83359191826521628</v>
      </c>
      <c r="G275">
        <f t="shared" si="10"/>
        <v>0.66488078312016907</v>
      </c>
      <c r="K275">
        <v>9.1154022216796875</v>
      </c>
      <c r="L275" s="15">
        <v>9.1586160659790039</v>
      </c>
      <c r="M275" s="15">
        <v>8.7537145614624023</v>
      </c>
      <c r="O275" s="11">
        <f t="shared" si="9"/>
        <v>0.66488078312016907</v>
      </c>
      <c r="P275" s="11">
        <f>(L275-$D275)^2</f>
        <v>0.73722154875725998</v>
      </c>
      <c r="Q275" s="11">
        <f>(M275-$D275)^2</f>
        <v>0.20585690328301942</v>
      </c>
    </row>
    <row r="276" spans="1:17" x14ac:dyDescent="0.25">
      <c r="A276" s="3">
        <v>46192</v>
      </c>
      <c r="B276" s="4">
        <v>12</v>
      </c>
      <c r="C276" s="5">
        <v>9.0801091142432941</v>
      </c>
      <c r="D276" s="6">
        <v>9.17</v>
      </c>
      <c r="E276">
        <v>9.1050205230712891</v>
      </c>
      <c r="F276">
        <f t="shared" si="10"/>
        <v>8.0803713421251314E-3</v>
      </c>
      <c r="G276">
        <f t="shared" si="10"/>
        <v>4.2223324219288674E-3</v>
      </c>
      <c r="K276">
        <v>9.1050205230712891</v>
      </c>
      <c r="L276" s="15">
        <v>9.3149480819702148</v>
      </c>
      <c r="M276" s="15">
        <v>8.8157939910888672</v>
      </c>
      <c r="O276" s="11">
        <f t="shared" si="9"/>
        <v>4.2223324219288674E-3</v>
      </c>
      <c r="P276" s="11">
        <f>(L276-$D276)^2</f>
        <v>2.1009946466844141E-2</v>
      </c>
      <c r="Q276" s="11">
        <f>(M276-$D276)^2</f>
        <v>0.12546189674875344</v>
      </c>
    </row>
    <row r="277" spans="1:17" x14ac:dyDescent="0.25">
      <c r="A277" s="3">
        <v>46192</v>
      </c>
      <c r="B277" s="4">
        <v>13</v>
      </c>
      <c r="C277" s="5">
        <v>9.6531789791142959</v>
      </c>
      <c r="D277" s="6">
        <v>9.6999999999999993</v>
      </c>
      <c r="E277">
        <v>9.3058252334594727</v>
      </c>
      <c r="F277">
        <f t="shared" si="10"/>
        <v>2.192207996779473E-3</v>
      </c>
      <c r="G277">
        <f t="shared" si="10"/>
        <v>0.15537374657727868</v>
      </c>
      <c r="K277">
        <v>9.3058252334594727</v>
      </c>
      <c r="L277" s="15">
        <v>9.6353654861450195</v>
      </c>
      <c r="M277" s="15">
        <v>9.3437166213989258</v>
      </c>
      <c r="O277" s="11">
        <f t="shared" si="9"/>
        <v>0.15537374657727868</v>
      </c>
      <c r="P277" s="11">
        <f>(L277-$D277)^2</f>
        <v>4.1776203812695705E-3</v>
      </c>
      <c r="Q277" s="11">
        <f>(M277-$D277)^2</f>
        <v>0.12693784586739587</v>
      </c>
    </row>
    <row r="278" spans="1:17" x14ac:dyDescent="0.25">
      <c r="A278" s="3">
        <v>46192</v>
      </c>
      <c r="B278" s="4">
        <v>14</v>
      </c>
      <c r="C278" s="5">
        <v>10.416479379344187</v>
      </c>
      <c r="D278" s="6">
        <v>10.08</v>
      </c>
      <c r="E278">
        <v>10.175125122070311</v>
      </c>
      <c r="F278">
        <f t="shared" si="10"/>
        <v>0.11321837272384924</v>
      </c>
      <c r="G278">
        <f t="shared" si="10"/>
        <v>9.0487888488915025E-3</v>
      </c>
      <c r="K278">
        <v>10.175125122070311</v>
      </c>
      <c r="L278" s="15">
        <v>10.764204978942869</v>
      </c>
      <c r="M278" s="15">
        <v>10.273233413696291</v>
      </c>
      <c r="O278" s="11">
        <f t="shared" si="9"/>
        <v>9.0487888488915025E-3</v>
      </c>
      <c r="P278" s="11">
        <f>(L278-$D278)^2</f>
        <v>0.46813645321021213</v>
      </c>
      <c r="Q278" s="11">
        <f>(M278-$D278)^2</f>
        <v>3.7339152168721849E-2</v>
      </c>
    </row>
    <row r="279" spans="1:17" x14ac:dyDescent="0.25">
      <c r="A279" s="3">
        <v>46192</v>
      </c>
      <c r="B279" s="4">
        <v>15</v>
      </c>
      <c r="C279" s="5">
        <v>11.798188659483536</v>
      </c>
      <c r="D279" s="6">
        <v>10.61</v>
      </c>
      <c r="E279">
        <v>11.74985980987549</v>
      </c>
      <c r="F279">
        <f t="shared" si="10"/>
        <v>1.4117922905252833</v>
      </c>
      <c r="G279">
        <f t="shared" si="10"/>
        <v>1.2992803861693896</v>
      </c>
      <c r="K279">
        <v>11.74985980987549</v>
      </c>
      <c r="L279" s="15">
        <v>12.32304096221924</v>
      </c>
      <c r="M279" s="15">
        <v>11.856594085693359</v>
      </c>
      <c r="O279" s="11">
        <f t="shared" si="9"/>
        <v>1.2992803861693896</v>
      </c>
      <c r="P279" s="11">
        <f>(L279-$D279)^2</f>
        <v>2.9345093382410217</v>
      </c>
      <c r="Q279" s="11">
        <f>(M279-$D279)^2</f>
        <v>1.553996814485664</v>
      </c>
    </row>
    <row r="280" spans="1:17" x14ac:dyDescent="0.25">
      <c r="A280" s="3">
        <v>46192</v>
      </c>
      <c r="B280" s="4">
        <v>16</v>
      </c>
      <c r="C280" s="5">
        <v>13.559477847859256</v>
      </c>
      <c r="D280" s="6">
        <v>12.89</v>
      </c>
      <c r="E280">
        <v>13.96896553039551</v>
      </c>
      <c r="F280">
        <f t="shared" si="10"/>
        <v>0.44820058877426028</v>
      </c>
      <c r="G280">
        <f t="shared" si="10"/>
        <v>1.1641666157816621</v>
      </c>
      <c r="K280">
        <v>13.96896553039551</v>
      </c>
      <c r="L280" s="15">
        <v>14.495731353759769</v>
      </c>
      <c r="M280" s="15">
        <v>13.91305351257324</v>
      </c>
      <c r="O280" s="11">
        <f t="shared" si="9"/>
        <v>1.1641666157816621</v>
      </c>
      <c r="P280" s="11">
        <f>(L280-$D280)^2</f>
        <v>2.578373180447179</v>
      </c>
      <c r="Q280" s="11">
        <f>(M280-$D280)^2</f>
        <v>1.0466384895884442</v>
      </c>
    </row>
    <row r="281" spans="1:17" x14ac:dyDescent="0.25">
      <c r="A281" s="3">
        <v>46192</v>
      </c>
      <c r="B281" s="4">
        <v>17</v>
      </c>
      <c r="C281" s="5">
        <v>15.430462337611802</v>
      </c>
      <c r="D281" s="6">
        <v>14.04</v>
      </c>
      <c r="E281">
        <v>15.6217155456543</v>
      </c>
      <c r="F281">
        <f t="shared" si="10"/>
        <v>1.9333855123168791</v>
      </c>
      <c r="G281">
        <f t="shared" si="10"/>
        <v>2.5018240673644838</v>
      </c>
      <c r="K281">
        <v>15.6217155456543</v>
      </c>
      <c r="L281" s="15">
        <v>16.261873245239261</v>
      </c>
      <c r="M281" s="15">
        <v>15.667427062988279</v>
      </c>
      <c r="O281" s="11">
        <f t="shared" si="9"/>
        <v>2.5018240673644838</v>
      </c>
      <c r="P281" s="11">
        <f>(L281-$D281)^2</f>
        <v>4.9367207179100507</v>
      </c>
      <c r="Q281" s="11">
        <f>(M281-$D281)^2</f>
        <v>2.6485188453466599</v>
      </c>
    </row>
    <row r="282" spans="1:17" x14ac:dyDescent="0.25">
      <c r="A282" s="3">
        <v>46192</v>
      </c>
      <c r="B282" s="4">
        <v>18</v>
      </c>
      <c r="C282" s="5">
        <v>17.388551184210677</v>
      </c>
      <c r="D282" s="6">
        <v>15.18</v>
      </c>
      <c r="E282">
        <v>17.321212768554691</v>
      </c>
      <c r="F282">
        <f t="shared" si="10"/>
        <v>4.8776983332783832</v>
      </c>
      <c r="G282">
        <f t="shared" si="10"/>
        <v>4.5847921202216462</v>
      </c>
      <c r="K282">
        <v>17.321212768554691</v>
      </c>
      <c r="L282" s="15">
        <v>18.018295288085941</v>
      </c>
      <c r="M282" s="15">
        <v>17.203292846679691</v>
      </c>
      <c r="O282" s="11">
        <f t="shared" si="9"/>
        <v>4.5847921202216462</v>
      </c>
      <c r="P282" s="11">
        <f>(L282-$D282)^2</f>
        <v>8.0559201423708569</v>
      </c>
      <c r="Q282" s="11">
        <f>(M282-$D282)^2</f>
        <v>4.0937139434252092</v>
      </c>
    </row>
    <row r="283" spans="1:17" x14ac:dyDescent="0.25">
      <c r="A283" s="3">
        <v>46192</v>
      </c>
      <c r="B283" s="4">
        <v>19</v>
      </c>
      <c r="C283" s="5">
        <v>20.288349304765415</v>
      </c>
      <c r="D283" s="6">
        <v>17.52</v>
      </c>
      <c r="E283">
        <v>20.47697830200195</v>
      </c>
      <c r="F283">
        <f t="shared" si="10"/>
        <v>7.6637578731951583</v>
      </c>
      <c r="G283">
        <f t="shared" si="10"/>
        <v>8.7437206785103356</v>
      </c>
      <c r="K283">
        <v>20.47697830200195</v>
      </c>
      <c r="L283" s="15">
        <v>21.257759094238281</v>
      </c>
      <c r="M283" s="15">
        <v>20.201934814453121</v>
      </c>
      <c r="O283" s="11">
        <f t="shared" si="9"/>
        <v>8.7437206785103356</v>
      </c>
      <c r="P283" s="11">
        <f>(L283-$D283)^2</f>
        <v>13.970843046560979</v>
      </c>
      <c r="Q283" s="11">
        <f>(M283-$D283)^2</f>
        <v>7.1927743489757017</v>
      </c>
    </row>
    <row r="284" spans="1:17" x14ac:dyDescent="0.25">
      <c r="A284" s="3">
        <v>46192</v>
      </c>
      <c r="B284" s="4">
        <v>20</v>
      </c>
      <c r="C284" s="5">
        <v>22.761845460357353</v>
      </c>
      <c r="D284" s="6">
        <v>19.82</v>
      </c>
      <c r="E284">
        <v>23.179740905761719</v>
      </c>
      <c r="F284">
        <f t="shared" si="10"/>
        <v>8.6544547126251654</v>
      </c>
      <c r="G284">
        <f t="shared" si="10"/>
        <v>11.287858953848572</v>
      </c>
      <c r="K284">
        <v>23.179740905761719</v>
      </c>
      <c r="L284" s="15">
        <v>23.607366561889648</v>
      </c>
      <c r="M284" s="15">
        <v>22.8332405090332</v>
      </c>
      <c r="O284" s="11">
        <f t="shared" si="9"/>
        <v>11.287858953848572</v>
      </c>
      <c r="P284" s="11">
        <f>(L284-$D284)^2</f>
        <v>14.344145474119815</v>
      </c>
      <c r="Q284" s="11">
        <f>(M284-$D284)^2</f>
        <v>9.0796183652786535</v>
      </c>
    </row>
    <row r="285" spans="1:17" x14ac:dyDescent="0.25">
      <c r="A285" s="3">
        <v>46192</v>
      </c>
      <c r="B285" s="4">
        <v>21</v>
      </c>
      <c r="C285" s="5">
        <v>25.199425201438871</v>
      </c>
      <c r="D285" s="6">
        <v>22.59</v>
      </c>
      <c r="E285">
        <v>25.535150527954102</v>
      </c>
      <c r="F285">
        <f t="shared" si="10"/>
        <v>6.8090998819042916</v>
      </c>
      <c r="G285">
        <f t="shared" si="10"/>
        <v>8.6739116323083234</v>
      </c>
      <c r="K285">
        <v>25.535150527954102</v>
      </c>
      <c r="L285" s="15">
        <v>25.822269439697269</v>
      </c>
      <c r="M285" s="15">
        <v>24.74973297119141</v>
      </c>
      <c r="O285" s="11">
        <f t="shared" si="9"/>
        <v>8.6739116323083234</v>
      </c>
      <c r="P285" s="11">
        <f>(L285-$D285)^2</f>
        <v>10.4475657308009</v>
      </c>
      <c r="Q285" s="11">
        <f>(M285-$D285)^2</f>
        <v>4.6644465068512755</v>
      </c>
    </row>
    <row r="286" spans="1:17" x14ac:dyDescent="0.25">
      <c r="A286" s="3">
        <v>46192</v>
      </c>
      <c r="B286" s="4">
        <v>22</v>
      </c>
      <c r="C286" s="5">
        <v>23.274721244219805</v>
      </c>
      <c r="D286" s="6">
        <v>22.93</v>
      </c>
      <c r="E286">
        <v>24.424589157104489</v>
      </c>
      <c r="F286">
        <f t="shared" si="10"/>
        <v>0.11883273621645052</v>
      </c>
      <c r="G286">
        <f t="shared" si="10"/>
        <v>2.2337967485343069</v>
      </c>
      <c r="K286">
        <v>24.424589157104489</v>
      </c>
      <c r="L286" s="15">
        <v>24.230373382568359</v>
      </c>
      <c r="M286" s="15">
        <v>24.083856582641602</v>
      </c>
      <c r="O286" s="11">
        <f t="shared" si="9"/>
        <v>2.2337967485343069</v>
      </c>
      <c r="P286" s="11">
        <f>(L286-$D286)^2</f>
        <v>1.6909709340922774</v>
      </c>
      <c r="Q286" s="11">
        <f>(M286-$D286)^2</f>
        <v>1.3313850133053557</v>
      </c>
    </row>
    <row r="287" spans="1:17" x14ac:dyDescent="0.25">
      <c r="A287" s="3">
        <v>46192</v>
      </c>
      <c r="B287" s="4">
        <v>23</v>
      </c>
      <c r="C287" s="5">
        <v>16.15323429172814</v>
      </c>
      <c r="D287" s="6">
        <v>17.420000000000002</v>
      </c>
      <c r="E287">
        <v>17.254459381103519</v>
      </c>
      <c r="F287">
        <f t="shared" si="10"/>
        <v>1.6046953596535121</v>
      </c>
      <c r="G287">
        <f t="shared" si="10"/>
        <v>2.7403696504630468E-2</v>
      </c>
      <c r="K287">
        <v>17.254459381103519</v>
      </c>
      <c r="L287" s="15">
        <v>17.48569488525391</v>
      </c>
      <c r="M287" s="15">
        <v>17.433897018432621</v>
      </c>
      <c r="O287" s="11">
        <f t="shared" si="9"/>
        <v>2.7403696504630468E-2</v>
      </c>
      <c r="P287" s="11">
        <f>(L287-$D287)^2</f>
        <v>4.3158179485241512E-3</v>
      </c>
      <c r="Q287" s="11">
        <f>(M287-$D287)^2</f>
        <v>1.9312712131655321E-4</v>
      </c>
    </row>
    <row r="288" spans="1:17" x14ac:dyDescent="0.25">
      <c r="A288" s="3">
        <v>46192</v>
      </c>
      <c r="B288" s="4">
        <v>24</v>
      </c>
      <c r="C288" s="5">
        <v>10.27590292057557</v>
      </c>
      <c r="D288" s="6">
        <v>11.9</v>
      </c>
      <c r="E288">
        <v>11.435176849365231</v>
      </c>
      <c r="F288">
        <f t="shared" si="10"/>
        <v>2.6376913233949648</v>
      </c>
      <c r="G288">
        <f t="shared" si="10"/>
        <v>0.21606056136603366</v>
      </c>
      <c r="K288">
        <v>11.435176849365231</v>
      </c>
      <c r="L288" s="15">
        <v>11.420515060424799</v>
      </c>
      <c r="M288" s="15">
        <v>11.539443969726561</v>
      </c>
      <c r="O288" s="11">
        <f t="shared" si="9"/>
        <v>0.21606056136603366</v>
      </c>
      <c r="P288" s="11">
        <f>(L288-$D288)^2</f>
        <v>0.22990580727943416</v>
      </c>
      <c r="Q288" s="11">
        <f>(M288-$D288)^2</f>
        <v>0.13000065096654151</v>
      </c>
    </row>
    <row r="289" spans="1:17" x14ac:dyDescent="0.25">
      <c r="A289" s="3">
        <v>46192</v>
      </c>
      <c r="B289" s="4">
        <v>25</v>
      </c>
      <c r="C289" s="5">
        <v>6.3040124200437191</v>
      </c>
      <c r="D289" s="6">
        <v>7.24</v>
      </c>
      <c r="E289">
        <v>7.3051843643188477</v>
      </c>
      <c r="F289">
        <f t="shared" si="10"/>
        <v>0.87607274983241579</v>
      </c>
      <c r="G289">
        <f t="shared" si="10"/>
        <v>4.2490013516522313E-3</v>
      </c>
      <c r="K289">
        <v>7.3051843643188477</v>
      </c>
      <c r="L289" s="15">
        <v>7.0704450607299796</v>
      </c>
      <c r="M289" s="15">
        <v>7.3387155532836914</v>
      </c>
      <c r="O289" s="11">
        <f t="shared" si="9"/>
        <v>4.2490013516522313E-3</v>
      </c>
      <c r="P289" s="11">
        <f>(L289-$D289)^2</f>
        <v>2.8748877430860385E-2</v>
      </c>
      <c r="Q289" s="11">
        <f>(M289-$D289)^2</f>
        <v>9.7447604601052749E-3</v>
      </c>
    </row>
    <row r="290" spans="1:17" x14ac:dyDescent="0.25">
      <c r="A290" s="3">
        <v>46192</v>
      </c>
      <c r="B290" s="4">
        <v>26</v>
      </c>
      <c r="C290" s="5">
        <v>4.0182727189607474</v>
      </c>
      <c r="D290" s="6">
        <v>3.94</v>
      </c>
      <c r="E290">
        <v>4.4104485511779794</v>
      </c>
      <c r="F290">
        <f t="shared" si="10"/>
        <v>6.1266185335081616E-3</v>
      </c>
      <c r="G290">
        <f t="shared" si="10"/>
        <v>0.22132183930545996</v>
      </c>
      <c r="K290">
        <v>4.4104485511779794</v>
      </c>
      <c r="L290" s="15">
        <v>4.3433952331542969</v>
      </c>
      <c r="M290" s="15">
        <v>4.2266621589660636</v>
      </c>
      <c r="O290" s="11">
        <f t="shared" si="9"/>
        <v>0.22132183930545996</v>
      </c>
      <c r="P290" s="11">
        <f>(L290-$D290)^2</f>
        <v>0.16272771413160958</v>
      </c>
      <c r="Q290" s="11">
        <f>(M290-$D290)^2</f>
        <v>8.2175193383084724E-2</v>
      </c>
    </row>
    <row r="291" spans="1:17" x14ac:dyDescent="0.25">
      <c r="A291" s="3">
        <v>46192</v>
      </c>
      <c r="B291" s="4">
        <v>27</v>
      </c>
      <c r="C291" s="5">
        <v>2.6660456840740232</v>
      </c>
      <c r="D291" s="6">
        <v>2.5</v>
      </c>
      <c r="E291">
        <v>2.976575613021851</v>
      </c>
      <c r="F291">
        <f t="shared" si="10"/>
        <v>2.7571169199610324E-2</v>
      </c>
      <c r="G291">
        <f t="shared" si="10"/>
        <v>0.2271243149271531</v>
      </c>
      <c r="K291">
        <v>2.976575613021851</v>
      </c>
      <c r="L291" s="15">
        <v>2.9443843364715581</v>
      </c>
      <c r="M291" s="15">
        <v>2.9935483932495122</v>
      </c>
      <c r="O291" s="11">
        <f t="shared" si="9"/>
        <v>0.2271243149271531</v>
      </c>
      <c r="P291" s="11">
        <f>(L291-$D291)^2</f>
        <v>0.19747743850126692</v>
      </c>
      <c r="Q291" s="11">
        <f>(M291-$D291)^2</f>
        <v>0.24359001647917511</v>
      </c>
    </row>
    <row r="292" spans="1:17" x14ac:dyDescent="0.25">
      <c r="A292" s="3">
        <v>46192</v>
      </c>
      <c r="B292" s="4">
        <v>28</v>
      </c>
      <c r="C292" s="5">
        <v>2.1620772920441591</v>
      </c>
      <c r="D292" s="6">
        <v>1.94</v>
      </c>
      <c r="E292">
        <v>2.1899335384368901</v>
      </c>
      <c r="F292">
        <f t="shared" si="10"/>
        <v>4.9318323641666759E-2</v>
      </c>
      <c r="G292">
        <f t="shared" si="10"/>
        <v>6.2466773635584442E-2</v>
      </c>
      <c r="K292">
        <v>2.1899335384368901</v>
      </c>
      <c r="L292" s="15">
        <v>2.1658258438110352</v>
      </c>
      <c r="M292" s="15">
        <v>2.4081933498382568</v>
      </c>
      <c r="O292" s="11">
        <f t="shared" si="9"/>
        <v>6.2466773635584442E-2</v>
      </c>
      <c r="P292" s="11">
        <f>(L292-$D292)^2</f>
        <v>5.0997311732966066E-2</v>
      </c>
      <c r="Q292" s="11">
        <f>(M292-$D292)^2</f>
        <v>0.21920501283276841</v>
      </c>
    </row>
    <row r="293" spans="1:17" x14ac:dyDescent="0.25">
      <c r="A293" s="7">
        <v>46192</v>
      </c>
      <c r="B293" s="4">
        <v>29</v>
      </c>
      <c r="C293" s="5">
        <v>2.2587908665266512</v>
      </c>
      <c r="D293" s="6">
        <v>1.94</v>
      </c>
      <c r="E293">
        <v>2.218949556350708</v>
      </c>
      <c r="F293">
        <f t="shared" si="10"/>
        <v>0.10162761658081317</v>
      </c>
      <c r="G293">
        <f t="shared" si="10"/>
        <v>7.7812854988256852E-2</v>
      </c>
      <c r="K293">
        <v>2.218949556350708</v>
      </c>
      <c r="L293" s="15">
        <v>2.1279199123382568</v>
      </c>
      <c r="M293" s="15">
        <v>2.530558824539185</v>
      </c>
      <c r="O293" s="11">
        <f t="shared" si="9"/>
        <v>7.7812854988256852E-2</v>
      </c>
      <c r="P293" s="11">
        <f>(L293-$D293)^2</f>
        <v>3.5313893453218156E-2</v>
      </c>
      <c r="Q293" s="11">
        <f>(M293-$D293)^2</f>
        <v>0.34875972524110399</v>
      </c>
    </row>
    <row r="294" spans="1:17" x14ac:dyDescent="0.25">
      <c r="A294" s="3">
        <v>46193</v>
      </c>
      <c r="B294" s="4">
        <v>6</v>
      </c>
      <c r="C294" s="5">
        <v>3.4760464762316667</v>
      </c>
      <c r="D294" s="6">
        <v>3.25</v>
      </c>
      <c r="E294">
        <v>3.56004810333252</v>
      </c>
      <c r="F294">
        <f t="shared" si="10"/>
        <v>5.1097009416753478E-2</v>
      </c>
      <c r="G294">
        <f t="shared" si="10"/>
        <v>9.6129826380092986E-2</v>
      </c>
      <c r="K294">
        <v>3.56004810333252</v>
      </c>
      <c r="L294" s="15">
        <v>3.3360080718994141</v>
      </c>
      <c r="M294" s="15">
        <v>3.9238238334655762</v>
      </c>
      <c r="O294" s="11">
        <f t="shared" si="9"/>
        <v>9.6129826380092986E-2</v>
      </c>
      <c r="P294" s="11">
        <f>(L294-$D294)^2</f>
        <v>7.3973884318547789E-3</v>
      </c>
      <c r="Q294" s="11">
        <f>(M294-$D294)^2</f>
        <v>0.45403855854624453</v>
      </c>
    </row>
    <row r="295" spans="1:17" x14ac:dyDescent="0.25">
      <c r="A295" s="3">
        <v>46193</v>
      </c>
      <c r="B295" s="4">
        <v>7</v>
      </c>
      <c r="C295" s="5">
        <v>5.895635137708668</v>
      </c>
      <c r="D295" s="6">
        <v>4.95</v>
      </c>
      <c r="E295">
        <v>5.4408807754516602</v>
      </c>
      <c r="F295">
        <f t="shared" si="10"/>
        <v>0.8942258136692911</v>
      </c>
      <c r="G295">
        <f t="shared" si="10"/>
        <v>0.24096393570802302</v>
      </c>
      <c r="K295">
        <v>5.4408807754516602</v>
      </c>
      <c r="L295" s="15">
        <v>5.4434413909912109</v>
      </c>
      <c r="M295" s="15">
        <v>5.6374659538269043</v>
      </c>
      <c r="O295" s="11">
        <f t="shared" si="9"/>
        <v>0.24096393570802302</v>
      </c>
      <c r="P295" s="11">
        <f>(L295-$D295)^2</f>
        <v>0.24348440634334093</v>
      </c>
      <c r="Q295" s="11">
        <f>(M295-$D295)^2</f>
        <v>0.47260943767113506</v>
      </c>
    </row>
    <row r="296" spans="1:17" x14ac:dyDescent="0.25">
      <c r="A296" s="3">
        <v>46193</v>
      </c>
      <c r="B296" s="4">
        <v>8</v>
      </c>
      <c r="C296" s="5">
        <v>9.4145228691230365</v>
      </c>
      <c r="D296" s="6">
        <v>7.47</v>
      </c>
      <c r="E296">
        <v>8.3170394897460938</v>
      </c>
      <c r="F296">
        <f t="shared" si="10"/>
        <v>3.7811691885424867</v>
      </c>
      <c r="G296">
        <f t="shared" si="10"/>
        <v>0.71747589718932325</v>
      </c>
      <c r="K296">
        <v>8.3170394897460938</v>
      </c>
      <c r="L296" s="15">
        <v>8.2889814376831055</v>
      </c>
      <c r="M296" s="15">
        <v>8.3259048461914063</v>
      </c>
      <c r="O296" s="11">
        <f t="shared" si="9"/>
        <v>0.71747589718932325</v>
      </c>
      <c r="P296" s="11">
        <f>(L296-$D296)^2</f>
        <v>0.67073059526948675</v>
      </c>
      <c r="Q296" s="11">
        <f>(M296-$D296)^2</f>
        <v>0.73257310573393519</v>
      </c>
    </row>
    <row r="297" spans="1:17" x14ac:dyDescent="0.25">
      <c r="A297" s="3">
        <v>46193</v>
      </c>
      <c r="B297" s="4">
        <v>9</v>
      </c>
      <c r="C297" s="5">
        <v>11.863635562764069</v>
      </c>
      <c r="D297" s="6">
        <v>10.199999999999999</v>
      </c>
      <c r="E297">
        <v>10.78944110870361</v>
      </c>
      <c r="F297">
        <f t="shared" si="10"/>
        <v>2.7676832856933218</v>
      </c>
      <c r="G297">
        <f t="shared" si="10"/>
        <v>0.34744082062974152</v>
      </c>
      <c r="K297">
        <v>10.78944110870361</v>
      </c>
      <c r="L297" s="15">
        <v>11.11310863494873</v>
      </c>
      <c r="M297" s="15">
        <v>10.59817600250244</v>
      </c>
      <c r="O297" s="11">
        <f t="shared" si="9"/>
        <v>0.34744082062974152</v>
      </c>
      <c r="P297" s="11">
        <f>(L297-$D297)^2</f>
        <v>0.8337673792179352</v>
      </c>
      <c r="Q297" s="11">
        <f>(M297-$D297)^2</f>
        <v>0.15854412896882339</v>
      </c>
    </row>
    <row r="298" spans="1:17" x14ac:dyDescent="0.25">
      <c r="A298" s="3">
        <v>46193</v>
      </c>
      <c r="B298" s="4">
        <v>10</v>
      </c>
      <c r="C298" s="5">
        <v>12.941451188020373</v>
      </c>
      <c r="D298" s="6">
        <v>11.9</v>
      </c>
      <c r="E298">
        <v>12.03686046600342</v>
      </c>
      <c r="F298">
        <f t="shared" si="10"/>
        <v>1.0846205770290462</v>
      </c>
      <c r="G298">
        <f t="shared" si="10"/>
        <v>1.8730787154673113E-2</v>
      </c>
      <c r="K298">
        <v>12.03686046600342</v>
      </c>
      <c r="L298" s="15">
        <v>12.487202644348139</v>
      </c>
      <c r="M298" s="15">
        <v>11.811629295349119</v>
      </c>
      <c r="O298" s="11">
        <f t="shared" si="9"/>
        <v>1.8730787154673113E-2</v>
      </c>
      <c r="P298" s="11">
        <f>(L298-$D298)^2</f>
        <v>0.34480694552944685</v>
      </c>
      <c r="Q298" s="11">
        <f>(M298-$D298)^2</f>
        <v>7.8093814404932476E-3</v>
      </c>
    </row>
    <row r="299" spans="1:17" x14ac:dyDescent="0.25">
      <c r="A299" s="3">
        <v>46193</v>
      </c>
      <c r="B299" s="4">
        <v>11</v>
      </c>
      <c r="C299" s="5">
        <v>12.963437169419123</v>
      </c>
      <c r="D299" s="6">
        <v>11.89</v>
      </c>
      <c r="E299">
        <v>12.461063385009769</v>
      </c>
      <c r="F299">
        <f t="shared" si="10"/>
        <v>1.1522673566905379</v>
      </c>
      <c r="G299">
        <f t="shared" si="10"/>
        <v>0.3261133896988152</v>
      </c>
      <c r="K299">
        <v>12.461063385009769</v>
      </c>
      <c r="L299" s="15">
        <v>12.597953796386721</v>
      </c>
      <c r="M299" s="15">
        <v>11.62843608856201</v>
      </c>
      <c r="O299" s="11">
        <f t="shared" si="9"/>
        <v>0.3261133896988152</v>
      </c>
      <c r="P299" s="11">
        <f>(L299-$D299)^2</f>
        <v>0.5011985778183693</v>
      </c>
      <c r="Q299" s="11">
        <f>(M299-$D299)^2</f>
        <v>6.8415679766740997E-2</v>
      </c>
    </row>
    <row r="300" spans="1:17" x14ac:dyDescent="0.25">
      <c r="A300" s="3">
        <v>46193</v>
      </c>
      <c r="B300" s="4">
        <v>12</v>
      </c>
      <c r="C300" s="5">
        <v>12.362752518085872</v>
      </c>
      <c r="D300" s="6">
        <v>12.27</v>
      </c>
      <c r="E300">
        <v>12.565029144287109</v>
      </c>
      <c r="F300">
        <f t="shared" si="10"/>
        <v>8.603029611269998E-3</v>
      </c>
      <c r="G300">
        <f t="shared" si="10"/>
        <v>8.7042195978784251E-2</v>
      </c>
      <c r="K300">
        <v>12.565029144287109</v>
      </c>
      <c r="L300" s="15">
        <v>12.575553894042971</v>
      </c>
      <c r="M300" s="15">
        <v>11.668840408325201</v>
      </c>
      <c r="O300" s="11">
        <f t="shared" si="9"/>
        <v>8.7042195978784251E-2</v>
      </c>
      <c r="P300" s="11">
        <f>(L300-$D300)^2</f>
        <v>9.3363182164823116E-2</v>
      </c>
      <c r="Q300" s="11">
        <f>(M300-$D300)^2</f>
        <v>0.36139285466261101</v>
      </c>
    </row>
    <row r="301" spans="1:17" x14ac:dyDescent="0.25">
      <c r="A301" s="3">
        <v>46193</v>
      </c>
      <c r="B301" s="4">
        <v>13</v>
      </c>
      <c r="C301" s="5">
        <v>12.67855915489748</v>
      </c>
      <c r="D301" s="6">
        <v>13.01</v>
      </c>
      <c r="E301">
        <v>13.03872680664062</v>
      </c>
      <c r="F301">
        <f t="shared" si="10"/>
        <v>0.10985303380227275</v>
      </c>
      <c r="G301">
        <f t="shared" si="10"/>
        <v>8.2522941976756264E-4</v>
      </c>
      <c r="K301">
        <v>13.03872680664062</v>
      </c>
      <c r="L301" s="15">
        <v>12.949746131896971</v>
      </c>
      <c r="M301" s="15">
        <v>12.05872917175293</v>
      </c>
      <c r="O301" s="11">
        <f t="shared" si="9"/>
        <v>8.2522941976756264E-4</v>
      </c>
      <c r="P301" s="11">
        <f>(L301-$D301)^2</f>
        <v>3.6305286213772045E-3</v>
      </c>
      <c r="Q301" s="11">
        <f>(M301-$D301)^2</f>
        <v>0.90491618867386669</v>
      </c>
    </row>
    <row r="302" spans="1:17" x14ac:dyDescent="0.25">
      <c r="A302" s="3">
        <v>46193</v>
      </c>
      <c r="B302" s="4">
        <v>14</v>
      </c>
      <c r="C302" s="5">
        <v>14.009341713102389</v>
      </c>
      <c r="D302" s="6">
        <v>12.62</v>
      </c>
      <c r="E302">
        <v>14.102372169494631</v>
      </c>
      <c r="F302">
        <f t="shared" si="10"/>
        <v>1.9302703957662823</v>
      </c>
      <c r="G302">
        <f t="shared" si="10"/>
        <v>2.1974272488922204</v>
      </c>
      <c r="K302">
        <v>14.102372169494631</v>
      </c>
      <c r="L302" s="15">
        <v>13.955296516418461</v>
      </c>
      <c r="M302" s="15">
        <v>13.02503681182861</v>
      </c>
      <c r="O302" s="11">
        <f t="shared" si="9"/>
        <v>2.1974272488922204</v>
      </c>
      <c r="P302" s="11">
        <f>(L302-$D302)^2</f>
        <v>1.7830167867592783</v>
      </c>
      <c r="Q302" s="11">
        <f>(M302-$D302)^2</f>
        <v>0.16405481893628523</v>
      </c>
    </row>
    <row r="303" spans="1:17" x14ac:dyDescent="0.25">
      <c r="A303" s="3">
        <v>46193</v>
      </c>
      <c r="B303" s="4">
        <v>15</v>
      </c>
      <c r="C303" s="5">
        <v>14.882373625901792</v>
      </c>
      <c r="D303" s="6">
        <v>12.95</v>
      </c>
      <c r="E303">
        <v>14.98004245758057</v>
      </c>
      <c r="F303">
        <f t="shared" si="10"/>
        <v>3.7340678300808414</v>
      </c>
      <c r="G303">
        <f t="shared" si="10"/>
        <v>4.121072379579763</v>
      </c>
      <c r="K303">
        <v>14.98004245758057</v>
      </c>
      <c r="L303" s="15">
        <v>14.591739654541019</v>
      </c>
      <c r="M303" s="15">
        <v>13.982547760009769</v>
      </c>
      <c r="O303" s="11">
        <f t="shared" si="9"/>
        <v>4.121072379579763</v>
      </c>
      <c r="P303" s="11">
        <f>(L303-$D303)^2</f>
        <v>2.6953090932924675</v>
      </c>
      <c r="Q303" s="11">
        <f>(M303-$D303)^2</f>
        <v>1.0661548767011932</v>
      </c>
    </row>
    <row r="304" spans="1:17" x14ac:dyDescent="0.25">
      <c r="A304" s="3">
        <v>46193</v>
      </c>
      <c r="B304" s="4">
        <v>16</v>
      </c>
      <c r="C304" s="5">
        <v>15.21206158319767</v>
      </c>
      <c r="D304" s="6">
        <v>13.55</v>
      </c>
      <c r="E304">
        <v>15.588491439819339</v>
      </c>
      <c r="F304">
        <f t="shared" si="10"/>
        <v>2.762448706341543</v>
      </c>
      <c r="G304">
        <f t="shared" si="10"/>
        <v>4.1554473502167211</v>
      </c>
      <c r="K304">
        <v>15.588491439819339</v>
      </c>
      <c r="L304" s="15">
        <v>15.170383453369141</v>
      </c>
      <c r="M304" s="15">
        <v>15.026052474975589</v>
      </c>
      <c r="O304" s="11">
        <f t="shared" si="9"/>
        <v>4.1554473502167211</v>
      </c>
      <c r="P304" s="11">
        <f>(L304-$D304)^2</f>
        <v>2.6256425359524997</v>
      </c>
      <c r="Q304" s="11">
        <f>(M304-$D304)^2</f>
        <v>2.178730908881561</v>
      </c>
    </row>
    <row r="305" spans="1:17" x14ac:dyDescent="0.25">
      <c r="A305" s="3">
        <v>46193</v>
      </c>
      <c r="B305" s="4">
        <v>17</v>
      </c>
      <c r="C305" s="5">
        <v>15.669376278000584</v>
      </c>
      <c r="D305" s="6">
        <v>13.88</v>
      </c>
      <c r="E305">
        <v>16.070732116699219</v>
      </c>
      <c r="F305">
        <f t="shared" si="10"/>
        <v>3.2018674642712206</v>
      </c>
      <c r="G305">
        <f t="shared" si="10"/>
        <v>4.7993072071374359</v>
      </c>
      <c r="K305">
        <v>16.070732116699219</v>
      </c>
      <c r="L305" s="15">
        <v>15.92462158203125</v>
      </c>
      <c r="M305" s="15">
        <v>15.366983413696291</v>
      </c>
      <c r="O305" s="11">
        <f t="shared" si="9"/>
        <v>4.7993072071374359</v>
      </c>
      <c r="P305" s="11">
        <f>(L305-$D305)^2</f>
        <v>4.1804774137079681</v>
      </c>
      <c r="Q305" s="11">
        <f>(M305-$D305)^2</f>
        <v>2.2111196726078721</v>
      </c>
    </row>
    <row r="306" spans="1:17" x14ac:dyDescent="0.25">
      <c r="A306" s="3">
        <v>46193</v>
      </c>
      <c r="B306" s="4">
        <v>18</v>
      </c>
      <c r="C306" s="5">
        <v>16.438296402655258</v>
      </c>
      <c r="D306" s="6">
        <v>14.94</v>
      </c>
      <c r="E306">
        <v>16.9433479309082</v>
      </c>
      <c r="F306">
        <f t="shared" si="10"/>
        <v>2.2448921102096882</v>
      </c>
      <c r="G306">
        <f t="shared" si="10"/>
        <v>4.0134029322741664</v>
      </c>
      <c r="K306">
        <v>16.9433479309082</v>
      </c>
      <c r="L306" s="15">
        <v>16.643930435180661</v>
      </c>
      <c r="M306" s="15">
        <v>15.71784591674805</v>
      </c>
      <c r="O306" s="11">
        <f t="shared" si="9"/>
        <v>4.0134029322741664</v>
      </c>
      <c r="P306" s="11">
        <f>(L306-$D306)^2</f>
        <v>2.9033789279349569</v>
      </c>
      <c r="Q306" s="11">
        <f>(M306-$D306)^2</f>
        <v>0.60504427020161577</v>
      </c>
    </row>
    <row r="307" spans="1:17" x14ac:dyDescent="0.25">
      <c r="A307" s="3">
        <v>46193</v>
      </c>
      <c r="B307" s="4">
        <v>19</v>
      </c>
      <c r="C307" s="5">
        <v>19.744736037777031</v>
      </c>
      <c r="D307" s="6">
        <v>18.38</v>
      </c>
      <c r="E307">
        <v>19.74014854431152</v>
      </c>
      <c r="F307">
        <f t="shared" si="10"/>
        <v>1.8625044528073522</v>
      </c>
      <c r="G307">
        <f t="shared" si="10"/>
        <v>1.8500040625927492</v>
      </c>
      <c r="K307">
        <v>19.74014854431152</v>
      </c>
      <c r="L307" s="15">
        <v>19.533187866210941</v>
      </c>
      <c r="M307" s="15">
        <v>18.242977142333981</v>
      </c>
      <c r="O307" s="11">
        <f t="shared" si="9"/>
        <v>1.8500040625927492</v>
      </c>
      <c r="P307" s="11">
        <f>(L307-$D307)^2</f>
        <v>1.3298422547761455</v>
      </c>
      <c r="Q307" s="11">
        <f>(M307-$D307)^2</f>
        <v>1.8775263522961879E-2</v>
      </c>
    </row>
    <row r="308" spans="1:17" x14ac:dyDescent="0.25">
      <c r="A308" s="3">
        <v>46193</v>
      </c>
      <c r="B308" s="4">
        <v>20</v>
      </c>
      <c r="C308" s="5">
        <v>22.418757597922227</v>
      </c>
      <c r="D308" s="6">
        <v>20.63</v>
      </c>
      <c r="E308">
        <v>22.65241622924805</v>
      </c>
      <c r="F308">
        <f t="shared" si="10"/>
        <v>3.1996537441244977</v>
      </c>
      <c r="G308">
        <f t="shared" si="10"/>
        <v>4.0901674043259071</v>
      </c>
      <c r="K308">
        <v>22.65241622924805</v>
      </c>
      <c r="L308" s="15">
        <v>22.598831176757809</v>
      </c>
      <c r="M308" s="15">
        <v>20.625967025756839</v>
      </c>
      <c r="O308" s="11">
        <f t="shared" si="9"/>
        <v>4.0901674043259071</v>
      </c>
      <c r="P308" s="11">
        <f>(L308-$D308)^2</f>
        <v>3.8762962025735428</v>
      </c>
      <c r="Q308" s="11">
        <f>(M308-$D308)^2</f>
        <v>1.6264881245988063E-5</v>
      </c>
    </row>
    <row r="309" spans="1:17" x14ac:dyDescent="0.25">
      <c r="A309" s="3">
        <v>46193</v>
      </c>
      <c r="B309" s="4">
        <v>21</v>
      </c>
      <c r="C309" s="5">
        <v>23.545242385050528</v>
      </c>
      <c r="D309" s="6">
        <v>21.74</v>
      </c>
      <c r="E309">
        <v>24.09042930603027</v>
      </c>
      <c r="F309">
        <f t="shared" si="10"/>
        <v>3.2589000687829257</v>
      </c>
      <c r="G309">
        <f t="shared" si="10"/>
        <v>5.5245179226459431</v>
      </c>
      <c r="K309">
        <v>24.09042930603027</v>
      </c>
      <c r="L309" s="15">
        <v>24.25480842590332</v>
      </c>
      <c r="M309" s="15">
        <v>22.16131591796875</v>
      </c>
      <c r="O309" s="11">
        <f t="shared" si="9"/>
        <v>5.5245179226459431</v>
      </c>
      <c r="P309" s="11">
        <f>(L309-$D309)^2</f>
        <v>6.3242614189943431</v>
      </c>
      <c r="Q309" s="11">
        <f>(M309-$D309)^2</f>
        <v>0.17750710273385178</v>
      </c>
    </row>
    <row r="310" spans="1:17" x14ac:dyDescent="0.25">
      <c r="A310" s="3">
        <v>46193</v>
      </c>
      <c r="B310" s="4">
        <v>22</v>
      </c>
      <c r="C310" s="5">
        <v>22.286466143600332</v>
      </c>
      <c r="D310" s="6">
        <v>23</v>
      </c>
      <c r="E310">
        <v>24.235481262207031</v>
      </c>
      <c r="F310">
        <f t="shared" si="10"/>
        <v>0.50913056422858149</v>
      </c>
      <c r="G310">
        <f t="shared" si="10"/>
        <v>1.5264139492646791</v>
      </c>
      <c r="K310">
        <v>24.235481262207031</v>
      </c>
      <c r="L310" s="15">
        <v>24.545919418334961</v>
      </c>
      <c r="M310" s="15">
        <v>22.829923629760739</v>
      </c>
      <c r="O310" s="11">
        <f t="shared" si="9"/>
        <v>1.5264139492646791</v>
      </c>
      <c r="P310" s="11">
        <f>(L310-$D310)^2</f>
        <v>2.389866847985104</v>
      </c>
      <c r="Q310" s="11">
        <f>(M310-$D310)^2</f>
        <v>2.8925971713762308E-2</v>
      </c>
    </row>
    <row r="311" spans="1:17" x14ac:dyDescent="0.25">
      <c r="A311" s="3">
        <v>46193</v>
      </c>
      <c r="B311" s="4">
        <v>23</v>
      </c>
      <c r="C311" s="5">
        <v>18.028127844434561</v>
      </c>
      <c r="D311" s="6">
        <v>19.46</v>
      </c>
      <c r="E311">
        <v>19.035280227661129</v>
      </c>
      <c r="F311">
        <f t="shared" si="10"/>
        <v>2.0502578698836191</v>
      </c>
      <c r="G311">
        <f t="shared" si="10"/>
        <v>0.18038688501558292</v>
      </c>
      <c r="K311">
        <v>19.035280227661129</v>
      </c>
      <c r="L311" s="15">
        <v>19.563680648803711</v>
      </c>
      <c r="M311" s="15">
        <v>18.316343307495121</v>
      </c>
      <c r="O311" s="11">
        <f t="shared" si="9"/>
        <v>0.18038688501558292</v>
      </c>
      <c r="P311" s="11">
        <f>(L311-$D311)^2</f>
        <v>1.074967693635827E-2</v>
      </c>
      <c r="Q311" s="11">
        <f>(M311-$D311)^2</f>
        <v>1.3079506303112018</v>
      </c>
    </row>
    <row r="312" spans="1:17" x14ac:dyDescent="0.25">
      <c r="A312" s="3">
        <v>46193</v>
      </c>
      <c r="B312" s="4">
        <v>24</v>
      </c>
      <c r="C312" s="5">
        <v>11.653230150339706</v>
      </c>
      <c r="D312" s="6">
        <v>12.25</v>
      </c>
      <c r="E312">
        <v>12.267385482788089</v>
      </c>
      <c r="F312">
        <f t="shared" si="10"/>
        <v>0.35613425346357019</v>
      </c>
      <c r="G312">
        <f t="shared" si="10"/>
        <v>3.0225501177495593E-4</v>
      </c>
      <c r="K312">
        <v>12.267385482788089</v>
      </c>
      <c r="L312" s="15">
        <v>12.64283561706543</v>
      </c>
      <c r="M312" s="15">
        <v>11.687587738037109</v>
      </c>
      <c r="O312" s="11">
        <f t="shared" si="9"/>
        <v>3.0225501177495593E-4</v>
      </c>
      <c r="P312" s="11">
        <f>(L312-$D312)^2</f>
        <v>0.15431982203517691</v>
      </c>
      <c r="Q312" s="11">
        <f>(M312-$D312)^2</f>
        <v>0.31630755240621511</v>
      </c>
    </row>
    <row r="313" spans="1:17" x14ac:dyDescent="0.25">
      <c r="A313" s="3">
        <v>46193</v>
      </c>
      <c r="B313" s="4">
        <v>25</v>
      </c>
      <c r="C313" s="5">
        <v>7.1605823857076709</v>
      </c>
      <c r="D313" s="6">
        <v>7.48</v>
      </c>
      <c r="E313">
        <v>7.5197610855102539</v>
      </c>
      <c r="F313">
        <f t="shared" si="10"/>
        <v>0.10202761232020338</v>
      </c>
      <c r="G313">
        <f t="shared" si="10"/>
        <v>1.5809439209536892E-3</v>
      </c>
      <c r="K313">
        <v>7.5197610855102539</v>
      </c>
      <c r="L313" s="15">
        <v>7.4736957550048828</v>
      </c>
      <c r="M313" s="15">
        <v>7.2767333984375</v>
      </c>
      <c r="O313" s="11">
        <f t="shared" si="9"/>
        <v>1.5809439209536892E-3</v>
      </c>
      <c r="P313" s="11">
        <f>(L313-$D313)^2</f>
        <v>3.9743504958465486E-5</v>
      </c>
      <c r="Q313" s="11">
        <f>(M313-$D313)^2</f>
        <v>4.1317311310768302E-2</v>
      </c>
    </row>
    <row r="314" spans="1:17" x14ac:dyDescent="0.25">
      <c r="A314" s="3">
        <v>46193</v>
      </c>
      <c r="B314" s="4">
        <v>26</v>
      </c>
      <c r="C314" s="5">
        <v>4.6362069767544858</v>
      </c>
      <c r="D314" s="6">
        <v>5.0999999999999996</v>
      </c>
      <c r="E314">
        <v>4.6067509651184082</v>
      </c>
      <c r="F314">
        <f t="shared" si="10"/>
        <v>0.21510396841121376</v>
      </c>
      <c r="G314">
        <f t="shared" si="10"/>
        <v>0.2432946104116214</v>
      </c>
      <c r="K314">
        <v>4.6067509651184082</v>
      </c>
      <c r="L314" s="15">
        <v>4.6588912010192871</v>
      </c>
      <c r="M314" s="15">
        <v>4.6260781288146973</v>
      </c>
      <c r="O314" s="11">
        <f t="shared" si="9"/>
        <v>0.2432946104116214</v>
      </c>
      <c r="P314" s="11">
        <f>(L314-$D314)^2</f>
        <v>0.19457697253820666</v>
      </c>
      <c r="Q314" s="11">
        <f>(M314-$D314)^2</f>
        <v>0.22460193998777833</v>
      </c>
    </row>
    <row r="315" spans="1:17" x14ac:dyDescent="0.25">
      <c r="A315" s="3">
        <v>46193</v>
      </c>
      <c r="B315" s="4">
        <v>27</v>
      </c>
      <c r="C315" s="5">
        <v>3.1066357422307802</v>
      </c>
      <c r="D315" s="6">
        <v>3.52</v>
      </c>
      <c r="E315">
        <v>2.949131965637207</v>
      </c>
      <c r="F315">
        <f t="shared" si="10"/>
        <v>0.17087000960109799</v>
      </c>
      <c r="G315">
        <f t="shared" si="10"/>
        <v>0.325890312657239</v>
      </c>
      <c r="K315">
        <v>2.949131965637207</v>
      </c>
      <c r="L315" s="15">
        <v>3.0226764678955078</v>
      </c>
      <c r="M315" s="15">
        <v>3.0851588249206539</v>
      </c>
      <c r="O315" s="11">
        <f t="shared" si="9"/>
        <v>0.325890312657239</v>
      </c>
      <c r="P315" s="11">
        <f>(L315-$D315)^2</f>
        <v>0.24733069558488788</v>
      </c>
      <c r="Q315" s="11">
        <f>(M315-$D315)^2</f>
        <v>0.18908684754438659</v>
      </c>
    </row>
    <row r="316" spans="1:17" x14ac:dyDescent="0.25">
      <c r="A316" s="3">
        <v>46193</v>
      </c>
      <c r="B316" s="4">
        <v>28</v>
      </c>
      <c r="C316" s="5">
        <v>2.2842825211102999</v>
      </c>
      <c r="D316" s="6">
        <v>2.2799999999999998</v>
      </c>
      <c r="E316">
        <v>2.1071934700012211</v>
      </c>
      <c r="F316">
        <f t="shared" si="10"/>
        <v>1.8339987060166358E-5</v>
      </c>
      <c r="G316">
        <f t="shared" si="10"/>
        <v>2.9862096810218789E-2</v>
      </c>
      <c r="K316">
        <v>2.1071934700012211</v>
      </c>
      <c r="L316" s="15">
        <v>2.1150221824646001</v>
      </c>
      <c r="M316" s="15">
        <v>2.206659317016602</v>
      </c>
      <c r="O316" s="11">
        <f t="shared" si="9"/>
        <v>2.9862096810218789E-2</v>
      </c>
      <c r="P316" s="11">
        <f>(L316-$D316)^2</f>
        <v>2.7217680278743654E-2</v>
      </c>
      <c r="Q316" s="11">
        <f>(M316-$D316)^2</f>
        <v>5.3788557804712554E-3</v>
      </c>
    </row>
    <row r="317" spans="1:17" x14ac:dyDescent="0.25">
      <c r="A317" s="7">
        <v>46193</v>
      </c>
      <c r="B317" s="4">
        <v>29</v>
      </c>
      <c r="C317" s="5">
        <v>2.2062784178818609</v>
      </c>
      <c r="D317" s="6">
        <v>2.13</v>
      </c>
      <c r="E317">
        <v>2.0857245922088619</v>
      </c>
      <c r="F317">
        <f t="shared" si="10"/>
        <v>5.8183970345598059E-3</v>
      </c>
      <c r="G317">
        <f t="shared" si="10"/>
        <v>1.9603117350715663E-3</v>
      </c>
      <c r="K317">
        <v>2.0857245922088619</v>
      </c>
      <c r="L317" s="15">
        <v>2.039481401443481</v>
      </c>
      <c r="M317" s="15">
        <v>2.156848669052124</v>
      </c>
      <c r="O317" s="11">
        <f t="shared" si="9"/>
        <v>1.9603117350715663E-3</v>
      </c>
      <c r="P317" s="11">
        <f>(L317-$D317)^2</f>
        <v>8.1936166846362235E-3</v>
      </c>
      <c r="Q317" s="11">
        <f>(M317-$D317)^2</f>
        <v>7.2085102987048803E-4</v>
      </c>
    </row>
    <row r="318" spans="1:17" x14ac:dyDescent="0.25">
      <c r="A318" s="3">
        <v>46194</v>
      </c>
      <c r="B318" s="4">
        <v>6</v>
      </c>
      <c r="C318" s="5">
        <v>3.2488896204834794</v>
      </c>
      <c r="D318" s="6">
        <v>3.34</v>
      </c>
      <c r="E318">
        <v>3.262047290802002</v>
      </c>
      <c r="F318">
        <f t="shared" si="10"/>
        <v>8.301101255644391E-3</v>
      </c>
      <c r="G318">
        <f t="shared" si="10"/>
        <v>6.0766248713076268E-3</v>
      </c>
      <c r="K318">
        <v>3.262047290802002</v>
      </c>
      <c r="L318" s="15">
        <v>3.1362743377685551</v>
      </c>
      <c r="M318" s="15">
        <v>3.5635638236999512</v>
      </c>
      <c r="O318" s="11">
        <f t="shared" si="9"/>
        <v>6.0766248713076268E-3</v>
      </c>
      <c r="P318" s="11">
        <f>(L318-$D318)^2</f>
        <v>4.1504145451640703E-2</v>
      </c>
      <c r="Q318" s="11">
        <f>(M318-$D318)^2</f>
        <v>4.9980783267342913E-2</v>
      </c>
    </row>
    <row r="319" spans="1:17" x14ac:dyDescent="0.25">
      <c r="A319" s="3">
        <v>46194</v>
      </c>
      <c r="B319" s="4">
        <v>7</v>
      </c>
      <c r="C319" s="5">
        <v>5.7230175263809091</v>
      </c>
      <c r="D319" s="6">
        <v>5.53</v>
      </c>
      <c r="E319">
        <v>5.5909709930419922</v>
      </c>
      <c r="F319">
        <f t="shared" si="10"/>
        <v>3.7255765490204845E-2</v>
      </c>
      <c r="G319">
        <f t="shared" si="10"/>
        <v>3.7174619925266295E-3</v>
      </c>
      <c r="K319">
        <v>5.5909709930419922</v>
      </c>
      <c r="L319" s="15">
        <v>5.4939970970153809</v>
      </c>
      <c r="M319" s="15">
        <v>6.0988330841064453</v>
      </c>
      <c r="O319" s="11">
        <f t="shared" si="9"/>
        <v>3.7174619925266295E-3</v>
      </c>
      <c r="P319" s="11">
        <f>(L319-$D319)^2</f>
        <v>1.2962090233199156E-3</v>
      </c>
      <c r="Q319" s="11">
        <f>(M319-$D319)^2</f>
        <v>0.32357107757405001</v>
      </c>
    </row>
    <row r="320" spans="1:17" x14ac:dyDescent="0.25">
      <c r="A320" s="3">
        <v>46194</v>
      </c>
      <c r="B320" s="4">
        <v>8</v>
      </c>
      <c r="C320" s="5">
        <v>9.760303978694914</v>
      </c>
      <c r="D320" s="6">
        <v>9.07</v>
      </c>
      <c r="E320">
        <v>9.1623802185058594</v>
      </c>
      <c r="F320">
        <f t="shared" si="10"/>
        <v>0.47651958300202785</v>
      </c>
      <c r="G320">
        <f t="shared" si="10"/>
        <v>8.5341047711902703E-3</v>
      </c>
      <c r="K320">
        <v>9.1623802185058594</v>
      </c>
      <c r="L320" s="15">
        <v>9.0788202285766602</v>
      </c>
      <c r="M320" s="15">
        <v>9.4536228179931641</v>
      </c>
      <c r="O320" s="11">
        <f t="shared" si="9"/>
        <v>8.5341047711902703E-3</v>
      </c>
      <c r="P320" s="11">
        <f>(L320-$D320)^2</f>
        <v>7.7796432144527436E-5</v>
      </c>
      <c r="Q320" s="11">
        <f>(M320-$D320)^2</f>
        <v>0.14716646648501605</v>
      </c>
    </row>
    <row r="321" spans="1:17" x14ac:dyDescent="0.25">
      <c r="A321" s="3">
        <v>46194</v>
      </c>
      <c r="B321" s="4">
        <v>9</v>
      </c>
      <c r="C321" s="5">
        <v>14.145357684517997</v>
      </c>
      <c r="D321" s="6">
        <v>13.55</v>
      </c>
      <c r="E321">
        <v>13.55082321166992</v>
      </c>
      <c r="F321">
        <f t="shared" si="10"/>
        <v>0.35445077251462964</v>
      </c>
      <c r="G321">
        <f t="shared" si="10"/>
        <v>6.7767745349146762E-7</v>
      </c>
      <c r="K321">
        <v>13.55082321166992</v>
      </c>
      <c r="L321" s="15">
        <v>13.359251022338871</v>
      </c>
      <c r="M321" s="15">
        <v>13.73682308197021</v>
      </c>
      <c r="O321" s="11">
        <f t="shared" si="9"/>
        <v>6.7767745349146762E-7</v>
      </c>
      <c r="P321" s="11">
        <f>(L321-$D321)^2</f>
        <v>3.6385172478766263E-2</v>
      </c>
      <c r="Q321" s="11">
        <f>(M321-$D321)^2</f>
        <v>3.4902863956847358E-2</v>
      </c>
    </row>
    <row r="322" spans="1:17" x14ac:dyDescent="0.25">
      <c r="A322" s="3">
        <v>46194</v>
      </c>
      <c r="B322" s="4">
        <v>10</v>
      </c>
      <c r="C322" s="5">
        <v>16.737752291567499</v>
      </c>
      <c r="D322" s="6">
        <v>16.36</v>
      </c>
      <c r="E322">
        <v>15.960317611694339</v>
      </c>
      <c r="F322">
        <f t="shared" si="10"/>
        <v>0.14269679378449754</v>
      </c>
      <c r="G322">
        <f t="shared" si="10"/>
        <v>0.15974601152171633</v>
      </c>
      <c r="K322">
        <v>15.960317611694339</v>
      </c>
      <c r="L322" s="15">
        <v>15.97907829284668</v>
      </c>
      <c r="M322" s="15">
        <v>16.984355926513668</v>
      </c>
      <c r="O322" s="11">
        <f t="shared" ref="O322:O385" si="11">(K322-$D322)^2</f>
        <v>0.15974601152171633</v>
      </c>
      <c r="P322" s="11">
        <f>(L322-$D322)^2</f>
        <v>0.14510134698059948</v>
      </c>
      <c r="Q322" s="11">
        <f>(M322-$D322)^2</f>
        <v>0.38982032297274188</v>
      </c>
    </row>
    <row r="323" spans="1:17" x14ac:dyDescent="0.25">
      <c r="A323" s="3">
        <v>46194</v>
      </c>
      <c r="B323" s="4">
        <v>11</v>
      </c>
      <c r="C323" s="5">
        <v>17.755649675755027</v>
      </c>
      <c r="D323" s="6">
        <v>17.03</v>
      </c>
      <c r="E323">
        <v>17.367084503173832</v>
      </c>
      <c r="F323">
        <f t="shared" ref="F323:G385" si="12">(C323-D323)^2</f>
        <v>0.52656745192337429</v>
      </c>
      <c r="G323">
        <f t="shared" si="12"/>
        <v>0.11362596227994817</v>
      </c>
      <c r="K323">
        <v>17.367084503173832</v>
      </c>
      <c r="L323" s="15">
        <v>17.14943885803223</v>
      </c>
      <c r="M323" s="15">
        <v>17.586359024047852</v>
      </c>
      <c r="O323" s="11">
        <f t="shared" si="11"/>
        <v>0.11362596227994817</v>
      </c>
      <c r="P323" s="11">
        <f>(L323-$D323)^2</f>
        <v>1.4265640808042948E-2</v>
      </c>
      <c r="Q323" s="11">
        <f>(M323-$D323)^2</f>
        <v>0.30953536363947659</v>
      </c>
    </row>
    <row r="324" spans="1:17" x14ac:dyDescent="0.25">
      <c r="A324" s="3">
        <v>46194</v>
      </c>
      <c r="B324" s="4">
        <v>12</v>
      </c>
      <c r="C324" s="5">
        <v>17.705265764623437</v>
      </c>
      <c r="D324" s="6">
        <v>17.37</v>
      </c>
      <c r="E324">
        <v>17.907514572143551</v>
      </c>
      <c r="F324">
        <f t="shared" si="12"/>
        <v>0.11240313292853737</v>
      </c>
      <c r="G324">
        <f t="shared" si="12"/>
        <v>0.28892191526666378</v>
      </c>
      <c r="K324">
        <v>17.907514572143551</v>
      </c>
      <c r="L324" s="15">
        <v>17.578237533569339</v>
      </c>
      <c r="M324" s="15">
        <v>17.905048370361332</v>
      </c>
      <c r="O324" s="11">
        <f t="shared" si="11"/>
        <v>0.28892191526666378</v>
      </c>
      <c r="P324" s="11">
        <f>(L324-$D324)^2</f>
        <v>4.3362870387041376E-2</v>
      </c>
      <c r="Q324" s="11">
        <f>(M324-$D324)^2</f>
        <v>0.28627675862631569</v>
      </c>
    </row>
    <row r="325" spans="1:17" x14ac:dyDescent="0.25">
      <c r="A325" s="3">
        <v>46194</v>
      </c>
      <c r="B325" s="4">
        <v>13</v>
      </c>
      <c r="C325" s="5">
        <v>17.437520861308936</v>
      </c>
      <c r="D325" s="6">
        <v>17.23</v>
      </c>
      <c r="E325">
        <v>18.20280647277832</v>
      </c>
      <c r="F325">
        <f t="shared" si="12"/>
        <v>4.30649078784026E-2</v>
      </c>
      <c r="G325">
        <f t="shared" si="12"/>
        <v>0.94635243347939602</v>
      </c>
      <c r="K325">
        <v>18.20280647277832</v>
      </c>
      <c r="L325" s="15">
        <v>17.913778305053711</v>
      </c>
      <c r="M325" s="15">
        <v>18.34937858581543</v>
      </c>
      <c r="O325" s="11">
        <f t="shared" si="11"/>
        <v>0.94635243347939602</v>
      </c>
      <c r="P325" s="11">
        <f>(L325-$D325)^2</f>
        <v>0.46755277046212518</v>
      </c>
      <c r="Q325" s="11">
        <f>(M325-$D325)^2</f>
        <v>1.2530084183821504</v>
      </c>
    </row>
    <row r="326" spans="1:17" x14ac:dyDescent="0.25">
      <c r="A326" s="3">
        <v>46194</v>
      </c>
      <c r="B326" s="4">
        <v>14</v>
      </c>
      <c r="C326" s="5">
        <v>18.558671964924624</v>
      </c>
      <c r="D326" s="6">
        <v>17.670000000000002</v>
      </c>
      <c r="E326">
        <v>18.75215911865234</v>
      </c>
      <c r="F326">
        <f t="shared" si="12"/>
        <v>0.78973786124298928</v>
      </c>
      <c r="G326">
        <f t="shared" si="12"/>
        <v>1.1710683580824059</v>
      </c>
      <c r="K326">
        <v>18.75215911865234</v>
      </c>
      <c r="L326" s="15">
        <v>18.29721832275391</v>
      </c>
      <c r="M326" s="15">
        <v>18.855575561523441</v>
      </c>
      <c r="O326" s="11">
        <f t="shared" si="11"/>
        <v>1.1710683580824059</v>
      </c>
      <c r="P326" s="11">
        <f>(L326-$D326)^2</f>
        <v>0.3934028243982256</v>
      </c>
      <c r="Q326" s="11">
        <f>(M326-$D326)^2</f>
        <v>1.4055894120816186</v>
      </c>
    </row>
    <row r="327" spans="1:17" x14ac:dyDescent="0.25">
      <c r="A327" s="3">
        <v>46194</v>
      </c>
      <c r="B327" s="4">
        <v>15</v>
      </c>
      <c r="C327" s="5">
        <v>19.147866910190867</v>
      </c>
      <c r="D327" s="6">
        <v>17.670000000000002</v>
      </c>
      <c r="E327">
        <v>19.18055534362793</v>
      </c>
      <c r="F327">
        <f t="shared" si="12"/>
        <v>2.1840906042370958</v>
      </c>
      <c r="G327">
        <f t="shared" si="12"/>
        <v>2.2817774461628875</v>
      </c>
      <c r="K327">
        <v>19.18055534362793</v>
      </c>
      <c r="L327" s="15">
        <v>18.598432540893551</v>
      </c>
      <c r="M327" s="15">
        <v>18.72282791137695</v>
      </c>
      <c r="O327" s="11">
        <f t="shared" si="11"/>
        <v>2.2817774461628875</v>
      </c>
      <c r="P327" s="11">
        <f>(L327-$D327)^2</f>
        <v>0.86198698299005239</v>
      </c>
      <c r="Q327" s="11">
        <f>(M327-$D327)^2</f>
        <v>1.1084466109743465</v>
      </c>
    </row>
    <row r="328" spans="1:17" x14ac:dyDescent="0.25">
      <c r="A328" s="3">
        <v>46194</v>
      </c>
      <c r="B328" s="4">
        <v>16</v>
      </c>
      <c r="C328" s="5">
        <v>19.050598002540184</v>
      </c>
      <c r="D328" s="6">
        <v>17.75</v>
      </c>
      <c r="E328">
        <v>19.58725738525391</v>
      </c>
      <c r="F328">
        <f t="shared" si="12"/>
        <v>1.6915551642115165</v>
      </c>
      <c r="G328">
        <f t="shared" si="12"/>
        <v>3.3755146996700334</v>
      </c>
      <c r="K328">
        <v>19.58725738525391</v>
      </c>
      <c r="L328" s="15">
        <v>19.136203765869141</v>
      </c>
      <c r="M328" s="15">
        <v>18.611434936523441</v>
      </c>
      <c r="O328" s="11">
        <f t="shared" si="11"/>
        <v>3.3755146996700334</v>
      </c>
      <c r="P328" s="11">
        <f>(L328-$D328)^2</f>
        <v>1.9215608805097872</v>
      </c>
      <c r="Q328" s="11">
        <f>(M328-$D328)^2</f>
        <v>0.7420701498631449</v>
      </c>
    </row>
    <row r="329" spans="1:17" x14ac:dyDescent="0.25">
      <c r="A329" s="3">
        <v>46194</v>
      </c>
      <c r="B329" s="4">
        <v>17</v>
      </c>
      <c r="C329" s="5">
        <v>19.633195273390701</v>
      </c>
      <c r="D329" s="6">
        <v>19.45</v>
      </c>
      <c r="E329">
        <v>20.451231002807621</v>
      </c>
      <c r="F329">
        <f t="shared" si="12"/>
        <v>3.3560508192693912E-2</v>
      </c>
      <c r="G329">
        <f t="shared" si="12"/>
        <v>1.0024635209831552</v>
      </c>
      <c r="K329">
        <v>20.451231002807621</v>
      </c>
      <c r="L329" s="15">
        <v>19.669931411743161</v>
      </c>
      <c r="M329" s="15">
        <v>18.950077056884769</v>
      </c>
      <c r="O329" s="11">
        <f t="shared" si="11"/>
        <v>1.0024635209831552</v>
      </c>
      <c r="P329" s="11">
        <f>(L329-$D329)^2</f>
        <v>4.8369825871339915E-2</v>
      </c>
      <c r="Q329" s="11">
        <f>(M329-$D329)^2</f>
        <v>0.24992294905299361</v>
      </c>
    </row>
    <row r="330" spans="1:17" x14ac:dyDescent="0.25">
      <c r="A330" s="3">
        <v>46194</v>
      </c>
      <c r="B330" s="4">
        <v>18</v>
      </c>
      <c r="C330" s="5">
        <v>21.259819693005863</v>
      </c>
      <c r="D330" s="6">
        <v>21.99</v>
      </c>
      <c r="E330">
        <v>22.139276504516602</v>
      </c>
      <c r="F330">
        <f t="shared" si="12"/>
        <v>0.53316328072205033</v>
      </c>
      <c r="G330">
        <f t="shared" si="12"/>
        <v>2.2283474800695435E-2</v>
      </c>
      <c r="K330">
        <v>22.139276504516602</v>
      </c>
      <c r="L330" s="15">
        <v>21.644838333129879</v>
      </c>
      <c r="M330" s="15">
        <v>20.82797813415527</v>
      </c>
      <c r="O330" s="11">
        <f t="shared" si="11"/>
        <v>2.2283474800695435E-2</v>
      </c>
      <c r="P330" s="11">
        <f>(L330-$D330)^2</f>
        <v>0.11913657627655913</v>
      </c>
      <c r="Q330" s="11">
        <f>(M330-$D330)^2</f>
        <v>1.3502948167012643</v>
      </c>
    </row>
    <row r="331" spans="1:17" x14ac:dyDescent="0.25">
      <c r="A331" s="3">
        <v>46194</v>
      </c>
      <c r="B331" s="4">
        <v>19</v>
      </c>
      <c r="C331" s="5">
        <v>25.419837003022412</v>
      </c>
      <c r="D331" s="6">
        <v>24.8</v>
      </c>
      <c r="E331">
        <v>26.164470672607418</v>
      </c>
      <c r="F331">
        <f t="shared" si="12"/>
        <v>0.38419791031580458</v>
      </c>
      <c r="G331">
        <f t="shared" si="12"/>
        <v>1.8617802164057387</v>
      </c>
      <c r="K331">
        <v>26.164470672607418</v>
      </c>
      <c r="L331" s="15">
        <v>25.59742546081543</v>
      </c>
      <c r="M331" s="15">
        <v>24.48261833190918</v>
      </c>
      <c r="O331" s="11">
        <f t="shared" si="11"/>
        <v>1.8617802164057387</v>
      </c>
      <c r="P331" s="11">
        <f>(L331-$D331)^2</f>
        <v>0.63588736555669922</v>
      </c>
      <c r="Q331" s="11">
        <f>(M331-$D331)^2</f>
        <v>0.10073112324011207</v>
      </c>
    </row>
    <row r="332" spans="1:17" x14ac:dyDescent="0.25">
      <c r="A332" s="3">
        <v>46194</v>
      </c>
      <c r="B332" s="4">
        <v>20</v>
      </c>
      <c r="C332" s="5">
        <v>27.711235597923444</v>
      </c>
      <c r="D332" s="6">
        <v>25.92</v>
      </c>
      <c r="E332">
        <v>28.18721961975098</v>
      </c>
      <c r="F332">
        <f t="shared" si="12"/>
        <v>3.2085249672681533</v>
      </c>
      <c r="G332">
        <f t="shared" si="12"/>
        <v>5.1402848041837714</v>
      </c>
      <c r="K332">
        <v>28.18721961975098</v>
      </c>
      <c r="L332" s="15">
        <v>27.763357162475589</v>
      </c>
      <c r="M332" s="15">
        <v>27.01055908203125</v>
      </c>
      <c r="O332" s="11">
        <f t="shared" si="11"/>
        <v>5.1402848041837714</v>
      </c>
      <c r="P332" s="11">
        <f>(L332-$D332)^2</f>
        <v>3.3979656284500503</v>
      </c>
      <c r="Q332" s="11">
        <f>(M332-$D332)^2</f>
        <v>1.189319111400839</v>
      </c>
    </row>
    <row r="333" spans="1:17" x14ac:dyDescent="0.25">
      <c r="A333" s="3">
        <v>46194</v>
      </c>
      <c r="B333" s="4">
        <v>21</v>
      </c>
      <c r="C333" s="5">
        <v>27.91749038385932</v>
      </c>
      <c r="D333" s="6">
        <v>27.02</v>
      </c>
      <c r="E333">
        <v>28.986236572265621</v>
      </c>
      <c r="F333">
        <f t="shared" si="12"/>
        <v>0.80548898911995082</v>
      </c>
      <c r="G333">
        <f t="shared" si="12"/>
        <v>3.8660862581148621</v>
      </c>
      <c r="K333">
        <v>28.986236572265621</v>
      </c>
      <c r="L333" s="15">
        <v>29.18121337890625</v>
      </c>
      <c r="M333" s="15">
        <v>28.065679550170898</v>
      </c>
      <c r="O333" s="11">
        <f t="shared" si="11"/>
        <v>3.8660862581148621</v>
      </c>
      <c r="P333" s="11">
        <f>(L333-$D333)^2</f>
        <v>4.6708432691633721</v>
      </c>
      <c r="Q333" s="11">
        <f>(M333-$D333)^2</f>
        <v>1.0934457216456135</v>
      </c>
    </row>
    <row r="334" spans="1:17" x14ac:dyDescent="0.25">
      <c r="A334" s="3">
        <v>46194</v>
      </c>
      <c r="B334" s="4">
        <v>22</v>
      </c>
      <c r="C334" s="5">
        <v>23.865701616117391</v>
      </c>
      <c r="D334" s="6">
        <v>24.02</v>
      </c>
      <c r="E334">
        <v>24.873378753662109</v>
      </c>
      <c r="F334">
        <f t="shared" si="12"/>
        <v>2.3807991268784724E-2</v>
      </c>
      <c r="G334">
        <f t="shared" si="12"/>
        <v>0.72825529720189586</v>
      </c>
      <c r="K334">
        <v>24.873378753662109</v>
      </c>
      <c r="L334" s="15">
        <v>24.907539367675781</v>
      </c>
      <c r="M334" s="15">
        <v>24.295331954956051</v>
      </c>
      <c r="O334" s="11">
        <f t="shared" si="11"/>
        <v>0.72825529720189586</v>
      </c>
      <c r="P334" s="11">
        <f>(L334-$D334)^2</f>
        <v>0.78772612917432638</v>
      </c>
      <c r="Q334" s="11">
        <f>(M334-$D334)^2</f>
        <v>7.5807685419921209E-2</v>
      </c>
    </row>
    <row r="335" spans="1:17" x14ac:dyDescent="0.25">
      <c r="A335" s="3">
        <v>46194</v>
      </c>
      <c r="B335" s="4">
        <v>23</v>
      </c>
      <c r="C335" s="5">
        <v>15.451171333888853</v>
      </c>
      <c r="D335" s="6">
        <v>16.13</v>
      </c>
      <c r="E335">
        <v>16.101957321166989</v>
      </c>
      <c r="F335">
        <f t="shared" si="12"/>
        <v>0.46080835793423774</v>
      </c>
      <c r="G335">
        <f t="shared" si="12"/>
        <v>7.8639183613136792E-4</v>
      </c>
      <c r="K335">
        <v>16.101957321166989</v>
      </c>
      <c r="L335" s="15">
        <v>16.111259460449219</v>
      </c>
      <c r="M335" s="15">
        <v>16.214145660400391</v>
      </c>
      <c r="O335" s="11">
        <f t="shared" si="11"/>
        <v>7.8639183613136792E-4</v>
      </c>
      <c r="P335" s="11">
        <f>(L335-$D335)^2</f>
        <v>3.51207822654359E-4</v>
      </c>
      <c r="Q335" s="11">
        <f>(M335-$D335)^2</f>
        <v>7.080492164218034E-3</v>
      </c>
    </row>
    <row r="336" spans="1:17" x14ac:dyDescent="0.25">
      <c r="A336" s="3">
        <v>46194</v>
      </c>
      <c r="B336" s="4">
        <v>24</v>
      </c>
      <c r="C336" s="5">
        <v>8.8289994847879001</v>
      </c>
      <c r="D336" s="6">
        <v>9.43</v>
      </c>
      <c r="E336">
        <v>9.6125164031982422</v>
      </c>
      <c r="F336">
        <f t="shared" si="12"/>
        <v>0.36120161928520922</v>
      </c>
      <c r="G336">
        <f t="shared" si="12"/>
        <v>3.3312237436423413E-2</v>
      </c>
      <c r="K336">
        <v>9.6125164031982422</v>
      </c>
      <c r="L336" s="15">
        <v>9.6472721099853516</v>
      </c>
      <c r="M336" s="15">
        <v>10.337459564208981</v>
      </c>
      <c r="O336" s="11">
        <f t="shared" si="11"/>
        <v>3.3312237436423413E-2</v>
      </c>
      <c r="P336" s="11">
        <f>(L336-$D336)^2</f>
        <v>4.7207169777486832E-2</v>
      </c>
      <c r="Q336" s="11">
        <f>(M336-$D336)^2</f>
        <v>0.82348286067435394</v>
      </c>
    </row>
    <row r="337" spans="1:17" x14ac:dyDescent="0.25">
      <c r="A337" s="3">
        <v>46194</v>
      </c>
      <c r="B337" s="4">
        <v>25</v>
      </c>
      <c r="C337" s="5">
        <v>5.4231561215019104</v>
      </c>
      <c r="D337" s="6">
        <v>5.93</v>
      </c>
      <c r="E337">
        <v>5.7157440185546884</v>
      </c>
      <c r="F337">
        <f t="shared" si="12"/>
        <v>0.25689071717098594</v>
      </c>
      <c r="G337">
        <f t="shared" si="12"/>
        <v>4.590562558509359E-2</v>
      </c>
      <c r="K337">
        <v>5.7157440185546884</v>
      </c>
      <c r="L337" s="15">
        <v>5.750178337097168</v>
      </c>
      <c r="M337" s="15">
        <v>6.1870017051696777</v>
      </c>
      <c r="O337" s="11">
        <f t="shared" si="11"/>
        <v>4.590562558509359E-2</v>
      </c>
      <c r="P337" s="11">
        <f>(L337-$D337)^2</f>
        <v>3.2335830449139652E-2</v>
      </c>
      <c r="Q337" s="11">
        <f>(M337-$D337)^2</f>
        <v>6.6049876460122101E-2</v>
      </c>
    </row>
    <row r="338" spans="1:17" x14ac:dyDescent="0.25">
      <c r="A338" s="3">
        <v>46194</v>
      </c>
      <c r="B338" s="4">
        <v>26</v>
      </c>
      <c r="C338" s="5">
        <v>3.2486838047519404</v>
      </c>
      <c r="D338" s="6">
        <v>4.01</v>
      </c>
      <c r="E338">
        <v>3.512478351593018</v>
      </c>
      <c r="F338">
        <f t="shared" si="12"/>
        <v>0.57960234914698128</v>
      </c>
      <c r="G338">
        <f t="shared" si="12"/>
        <v>0.24752779063360039</v>
      </c>
      <c r="K338">
        <v>3.512478351593018</v>
      </c>
      <c r="L338" s="15">
        <v>3.557990550994873</v>
      </c>
      <c r="M338" s="15">
        <v>3.730191707611084</v>
      </c>
      <c r="O338" s="11">
        <f t="shared" si="11"/>
        <v>0.24752779063360039</v>
      </c>
      <c r="P338" s="11">
        <f>(L338-$D338)^2</f>
        <v>0.20431254198991827</v>
      </c>
      <c r="Q338" s="11">
        <f>(M338-$D338)^2</f>
        <v>7.8292680489601002E-2</v>
      </c>
    </row>
    <row r="339" spans="1:17" x14ac:dyDescent="0.25">
      <c r="A339" s="3">
        <v>46194</v>
      </c>
      <c r="B339" s="4">
        <v>27</v>
      </c>
      <c r="C339" s="5">
        <v>2.2739203524157467</v>
      </c>
      <c r="D339" s="6">
        <v>2.94</v>
      </c>
      <c r="E339">
        <v>2.3941764831542969</v>
      </c>
      <c r="F339">
        <f t="shared" si="12"/>
        <v>0.44366209692596292</v>
      </c>
      <c r="G339">
        <f t="shared" si="12"/>
        <v>0.29792331154181151</v>
      </c>
      <c r="K339">
        <v>2.3941764831542969</v>
      </c>
      <c r="L339" s="15">
        <v>2.403788805007935</v>
      </c>
      <c r="M339" s="15">
        <v>2.7338812351226811</v>
      </c>
      <c r="O339" s="11">
        <f t="shared" si="11"/>
        <v>0.29792331154181151</v>
      </c>
      <c r="P339" s="11">
        <f>(L339-$D339)^2</f>
        <v>0.28752244563481827</v>
      </c>
      <c r="Q339" s="11">
        <f>(M339-$D339)^2</f>
        <v>4.2484945234551444E-2</v>
      </c>
    </row>
    <row r="340" spans="1:17" x14ac:dyDescent="0.25">
      <c r="A340" s="3">
        <v>46194</v>
      </c>
      <c r="B340" s="4">
        <v>28</v>
      </c>
      <c r="C340" s="5">
        <v>1.8929667338812863</v>
      </c>
      <c r="D340" s="6">
        <v>2.19</v>
      </c>
      <c r="E340">
        <v>1.956473827362061</v>
      </c>
      <c r="F340">
        <f t="shared" si="12"/>
        <v>8.8228761181150542E-2</v>
      </c>
      <c r="G340">
        <f t="shared" si="12"/>
        <v>5.4534473306924472E-2</v>
      </c>
      <c r="K340">
        <v>1.956473827362061</v>
      </c>
      <c r="L340" s="15">
        <v>1.9021956920623779</v>
      </c>
      <c r="M340" s="15">
        <v>2.3008220195770259</v>
      </c>
      <c r="O340" s="11">
        <f t="shared" si="11"/>
        <v>5.4534473306924472E-2</v>
      </c>
      <c r="P340" s="11">
        <f>(L340-$D340)^2</f>
        <v>8.2831319667453565E-2</v>
      </c>
      <c r="Q340" s="11">
        <f>(M340-$D340)^2</f>
        <v>1.2281520023130729E-2</v>
      </c>
    </row>
    <row r="341" spans="1:17" x14ac:dyDescent="0.25">
      <c r="A341" s="7">
        <v>46194</v>
      </c>
      <c r="B341" s="4">
        <v>29</v>
      </c>
      <c r="C341" s="5">
        <v>2.3176717313483026</v>
      </c>
      <c r="D341" s="6">
        <v>2.19</v>
      </c>
      <c r="E341">
        <v>2.2522890567779541</v>
      </c>
      <c r="F341">
        <f t="shared" si="12"/>
        <v>1.6300070985473172E-2</v>
      </c>
      <c r="G341">
        <f t="shared" si="12"/>
        <v>3.8799265942871964E-3</v>
      </c>
      <c r="K341">
        <v>2.2522890567779541</v>
      </c>
      <c r="L341" s="15">
        <v>2.1575055122375488</v>
      </c>
      <c r="M341" s="15">
        <v>2.4679074287414551</v>
      </c>
      <c r="O341" s="11">
        <f t="shared" si="11"/>
        <v>3.8799265942871964E-3</v>
      </c>
      <c r="P341" s="11">
        <f>(L341-$D341)^2</f>
        <v>1.0558917349440854E-3</v>
      </c>
      <c r="Q341" s="11">
        <f>(M341-$D341)^2</f>
        <v>7.7232538949686957E-2</v>
      </c>
    </row>
    <row r="342" spans="1:17" x14ac:dyDescent="0.25">
      <c r="A342" s="3">
        <v>46195</v>
      </c>
      <c r="B342" s="4">
        <v>6</v>
      </c>
      <c r="C342" s="5">
        <v>3.9873913510894012</v>
      </c>
      <c r="D342" s="6">
        <v>3.61</v>
      </c>
      <c r="E342">
        <v>3.792056560516357</v>
      </c>
      <c r="F342">
        <f t="shared" si="12"/>
        <v>0.14242423187708381</v>
      </c>
      <c r="G342">
        <f t="shared" si="12"/>
        <v>3.3144591227045994E-2</v>
      </c>
      <c r="K342">
        <v>3.792056560516357</v>
      </c>
      <c r="L342" s="15">
        <v>3.5824599266052251</v>
      </c>
      <c r="M342" s="15">
        <v>3.7869024276733398</v>
      </c>
      <c r="O342" s="11">
        <f t="shared" si="11"/>
        <v>3.3144591227045994E-2</v>
      </c>
      <c r="P342" s="11">
        <f>(L342-$D342)^2</f>
        <v>7.5845564258958398E-4</v>
      </c>
      <c r="Q342" s="11">
        <f>(M342-$D342)^2</f>
        <v>3.1294468916721281E-2</v>
      </c>
    </row>
    <row r="343" spans="1:17" x14ac:dyDescent="0.25">
      <c r="A343" s="3">
        <v>46195</v>
      </c>
      <c r="B343" s="4">
        <v>7</v>
      </c>
      <c r="C343" s="5">
        <v>5.7885606111069388</v>
      </c>
      <c r="D343" s="6">
        <v>5.36</v>
      </c>
      <c r="E343">
        <v>5.4209837913513184</v>
      </c>
      <c r="F343">
        <f t="shared" si="12"/>
        <v>0.18366419739235251</v>
      </c>
      <c r="G343">
        <f t="shared" si="12"/>
        <v>3.7190228075810929E-3</v>
      </c>
      <c r="K343">
        <v>5.4209837913513184</v>
      </c>
      <c r="L343" s="15">
        <v>5.3952841758728027</v>
      </c>
      <c r="M343" s="15">
        <v>5.6443920135498047</v>
      </c>
      <c r="O343" s="11">
        <f t="shared" si="11"/>
        <v>3.7190228075810929E-3</v>
      </c>
      <c r="P343" s="11">
        <f>(L343-$D343)^2</f>
        <v>1.244973067022852E-3</v>
      </c>
      <c r="Q343" s="11">
        <f>(M343-$D343)^2</f>
        <v>8.0878817370912112E-2</v>
      </c>
    </row>
    <row r="344" spans="1:17" x14ac:dyDescent="0.25">
      <c r="A344" s="3">
        <v>46195</v>
      </c>
      <c r="B344" s="4">
        <v>8</v>
      </c>
      <c r="C344" s="5">
        <v>7.5436784706891418</v>
      </c>
      <c r="D344" s="6">
        <v>6.72</v>
      </c>
      <c r="E344">
        <v>7.1270103454589844</v>
      </c>
      <c r="F344">
        <f t="shared" si="12"/>
        <v>0.6784462230768038</v>
      </c>
      <c r="G344">
        <f t="shared" si="12"/>
        <v>0.16565742131064201</v>
      </c>
      <c r="K344">
        <v>7.1270103454589844</v>
      </c>
      <c r="L344" s="15">
        <v>7.0839662551879883</v>
      </c>
      <c r="M344" s="15">
        <v>7.268132209777832</v>
      </c>
      <c r="O344" s="11">
        <f t="shared" si="11"/>
        <v>0.16565742131064201</v>
      </c>
      <c r="P344" s="11">
        <f>(L344-$D344)^2</f>
        <v>0.13247143491556798</v>
      </c>
      <c r="Q344" s="11">
        <f>(M344-$D344)^2</f>
        <v>0.30044891939592955</v>
      </c>
    </row>
    <row r="345" spans="1:17" x14ac:dyDescent="0.25">
      <c r="A345" s="3">
        <v>46195</v>
      </c>
      <c r="B345" s="4">
        <v>9</v>
      </c>
      <c r="C345" s="5">
        <v>8.7336983043685894</v>
      </c>
      <c r="D345" s="6">
        <v>7.72</v>
      </c>
      <c r="E345">
        <v>8.5116710662841797</v>
      </c>
      <c r="F345">
        <f t="shared" si="12"/>
        <v>1.0275842522797538</v>
      </c>
      <c r="G345">
        <f t="shared" si="12"/>
        <v>0.62674307719153044</v>
      </c>
      <c r="K345">
        <v>8.5116710662841797</v>
      </c>
      <c r="L345" s="15">
        <v>8.4171209335327148</v>
      </c>
      <c r="M345" s="15">
        <v>8.4223785400390625</v>
      </c>
      <c r="O345" s="11">
        <f t="shared" si="11"/>
        <v>0.62674307719153044</v>
      </c>
      <c r="P345" s="11">
        <f>(L345-$D345)^2</f>
        <v>0.48597759596952417</v>
      </c>
      <c r="Q345" s="11">
        <f>(M345-$D345)^2</f>
        <v>0.49333561350740529</v>
      </c>
    </row>
    <row r="346" spans="1:17" x14ac:dyDescent="0.25">
      <c r="A346" s="3">
        <v>46195</v>
      </c>
      <c r="B346" s="4">
        <v>10</v>
      </c>
      <c r="C346" s="5">
        <v>9.1407008683406907</v>
      </c>
      <c r="D346" s="6">
        <v>8.3000000000000007</v>
      </c>
      <c r="E346">
        <v>8.9711313247680664</v>
      </c>
      <c r="F346">
        <f t="shared" si="12"/>
        <v>0.70677795002879018</v>
      </c>
      <c r="G346">
        <f t="shared" si="12"/>
        <v>0.45041725508493885</v>
      </c>
      <c r="K346">
        <v>8.9711313247680664</v>
      </c>
      <c r="L346" s="15">
        <v>8.8939743041992188</v>
      </c>
      <c r="M346" s="15">
        <v>8.9081001281738281</v>
      </c>
      <c r="O346" s="11">
        <f t="shared" si="11"/>
        <v>0.45041725508493885</v>
      </c>
      <c r="P346" s="11">
        <f>(L346-$D346)^2</f>
        <v>0.35280547404894519</v>
      </c>
      <c r="Q346" s="11">
        <f>(M346-$D346)^2</f>
        <v>0.36978576588502532</v>
      </c>
    </row>
    <row r="347" spans="1:17" x14ac:dyDescent="0.25">
      <c r="A347" s="3">
        <v>46195</v>
      </c>
      <c r="B347" s="4">
        <v>11</v>
      </c>
      <c r="C347" s="5">
        <v>9.4491448276427796</v>
      </c>
      <c r="D347" s="6">
        <v>8.41</v>
      </c>
      <c r="E347">
        <v>8.9911136627197266</v>
      </c>
      <c r="F347">
        <f t="shared" si="12"/>
        <v>1.079821972816742</v>
      </c>
      <c r="G347">
        <f t="shared" si="12"/>
        <v>0.33769308899953593</v>
      </c>
      <c r="K347">
        <v>8.9911136627197266</v>
      </c>
      <c r="L347" s="15">
        <v>8.9455776214599609</v>
      </c>
      <c r="M347" s="15">
        <v>8.8364858627319336</v>
      </c>
      <c r="O347" s="11">
        <f t="shared" si="11"/>
        <v>0.33769308899953593</v>
      </c>
      <c r="P347" s="11">
        <f>(L347-$D347)^2</f>
        <v>0.28684338860870906</v>
      </c>
      <c r="Q347" s="11">
        <f>(M347-$D347)^2</f>
        <v>0.18189019111020158</v>
      </c>
    </row>
    <row r="348" spans="1:17" x14ac:dyDescent="0.25">
      <c r="A348" s="3">
        <v>46195</v>
      </c>
      <c r="B348" s="4">
        <v>12</v>
      </c>
      <c r="C348" s="5">
        <v>9.3693797851441918</v>
      </c>
      <c r="D348" s="6">
        <v>8.41</v>
      </c>
      <c r="E348">
        <v>9.1005353927612305</v>
      </c>
      <c r="F348">
        <f t="shared" si="12"/>
        <v>0.92040957214331531</v>
      </c>
      <c r="G348">
        <f t="shared" si="12"/>
        <v>0.47683912865590661</v>
      </c>
      <c r="K348">
        <v>9.1005353927612305</v>
      </c>
      <c r="L348" s="15">
        <v>9.005218505859375</v>
      </c>
      <c r="M348" s="15">
        <v>8.9178323745727539</v>
      </c>
      <c r="O348" s="11">
        <f t="shared" si="11"/>
        <v>0.47683912865590661</v>
      </c>
      <c r="P348" s="11">
        <f>(L348-$D348)^2</f>
        <v>0.35428506971746665</v>
      </c>
      <c r="Q348" s="11">
        <f>(M348-$D348)^2</f>
        <v>0.25789372066420169</v>
      </c>
    </row>
    <row r="349" spans="1:17" x14ac:dyDescent="0.25">
      <c r="A349" s="3">
        <v>46195</v>
      </c>
      <c r="B349" s="4">
        <v>13</v>
      </c>
      <c r="C349" s="5">
        <v>9.7382213755468285</v>
      </c>
      <c r="D349" s="6">
        <v>8.9700000000000006</v>
      </c>
      <c r="E349">
        <v>9.3953876495361328</v>
      </c>
      <c r="F349">
        <f t="shared" si="12"/>
        <v>0.59016408184706037</v>
      </c>
      <c r="G349">
        <f t="shared" si="12"/>
        <v>0.1809546523778752</v>
      </c>
      <c r="K349">
        <v>9.3953876495361328</v>
      </c>
      <c r="L349" s="15">
        <v>9.3572626113891602</v>
      </c>
      <c r="M349" s="15">
        <v>9.0544528961181641</v>
      </c>
      <c r="O349" s="11">
        <f t="shared" si="11"/>
        <v>0.1809546523778752</v>
      </c>
      <c r="P349" s="11">
        <f>(L349-$D349)^2</f>
        <v>0.14997233017995118</v>
      </c>
      <c r="Q349" s="11">
        <f>(M349-$D349)^2</f>
        <v>7.1322916627453029E-3</v>
      </c>
    </row>
    <row r="350" spans="1:17" x14ac:dyDescent="0.25">
      <c r="A350" s="3">
        <v>46195</v>
      </c>
      <c r="B350" s="4">
        <v>14</v>
      </c>
      <c r="C350" s="5">
        <v>10.750307779531768</v>
      </c>
      <c r="D350" s="6">
        <v>9.98</v>
      </c>
      <c r="E350">
        <v>10.221931457519529</v>
      </c>
      <c r="F350">
        <f t="shared" si="12"/>
        <v>0.59337407520716268</v>
      </c>
      <c r="G350">
        <f t="shared" si="12"/>
        <v>5.8530830137523686E-2</v>
      </c>
      <c r="K350">
        <v>10.221931457519529</v>
      </c>
      <c r="L350" s="15">
        <v>10.403982162475589</v>
      </c>
      <c r="M350" s="15">
        <v>9.8910427093505859</v>
      </c>
      <c r="O350" s="11">
        <f t="shared" si="11"/>
        <v>5.8530830137523686E-2</v>
      </c>
      <c r="P350" s="11">
        <f>(L350-$D350)^2</f>
        <v>0.17976087409747679</v>
      </c>
      <c r="Q350" s="11">
        <f>(M350-$D350)^2</f>
        <v>7.9133995596844062E-3</v>
      </c>
    </row>
    <row r="351" spans="1:17" x14ac:dyDescent="0.25">
      <c r="A351" s="3">
        <v>46195</v>
      </c>
      <c r="B351" s="4">
        <v>15</v>
      </c>
      <c r="C351" s="5">
        <v>12.174656075650681</v>
      </c>
      <c r="D351" s="6">
        <v>11.45</v>
      </c>
      <c r="E351">
        <v>11.71276760101318</v>
      </c>
      <c r="F351">
        <f t="shared" si="12"/>
        <v>0.52512642797744646</v>
      </c>
      <c r="G351">
        <f t="shared" si="12"/>
        <v>6.904681214222215E-2</v>
      </c>
      <c r="K351">
        <v>11.71276760101318</v>
      </c>
      <c r="L351" s="15">
        <v>11.935934066772459</v>
      </c>
      <c r="M351" s="15">
        <v>11.29916954040527</v>
      </c>
      <c r="O351" s="11">
        <f t="shared" si="11"/>
        <v>6.904681214222215E-2</v>
      </c>
      <c r="P351" s="11">
        <f>(L351-$D351)^2</f>
        <v>0.2361319172500215</v>
      </c>
      <c r="Q351" s="11">
        <f>(M351-$D351)^2</f>
        <v>2.2749827541557299E-2</v>
      </c>
    </row>
    <row r="352" spans="1:17" x14ac:dyDescent="0.25">
      <c r="A352" s="3">
        <v>46195</v>
      </c>
      <c r="B352" s="4">
        <v>16</v>
      </c>
      <c r="C352" s="5">
        <v>14.416553018688104</v>
      </c>
      <c r="D352" s="6">
        <v>13.54</v>
      </c>
      <c r="E352">
        <v>13.8596134185791</v>
      </c>
      <c r="F352">
        <f t="shared" si="12"/>
        <v>0.76834519457122896</v>
      </c>
      <c r="G352">
        <f t="shared" si="12"/>
        <v>0.10215273733581939</v>
      </c>
      <c r="K352">
        <v>13.8596134185791</v>
      </c>
      <c r="L352" s="15">
        <v>14.1798849105835</v>
      </c>
      <c r="M352" s="15">
        <v>13.15481662750244</v>
      </c>
      <c r="O352" s="11">
        <f t="shared" si="11"/>
        <v>0.10215273733581939</v>
      </c>
      <c r="P352" s="11">
        <f>(L352-$D352)^2</f>
        <v>0.40945269879245444</v>
      </c>
      <c r="Q352" s="11">
        <f>(M352-$D352)^2</f>
        <v>0.14836623044859368</v>
      </c>
    </row>
    <row r="353" spans="1:17" x14ac:dyDescent="0.25">
      <c r="A353" s="3">
        <v>46195</v>
      </c>
      <c r="B353" s="4">
        <v>17</v>
      </c>
      <c r="C353" s="5">
        <v>16.565658541782927</v>
      </c>
      <c r="D353" s="6">
        <v>15.29</v>
      </c>
      <c r="E353">
        <v>15.357059478759769</v>
      </c>
      <c r="F353">
        <f t="shared" si="12"/>
        <v>1.6273047152237459</v>
      </c>
      <c r="G353">
        <f t="shared" si="12"/>
        <v>4.4969736915320482E-3</v>
      </c>
      <c r="K353">
        <v>15.357059478759769</v>
      </c>
      <c r="L353" s="15">
        <v>16.041679382324219</v>
      </c>
      <c r="M353" s="15">
        <v>15.13860511779785</v>
      </c>
      <c r="O353" s="11">
        <f t="shared" si="11"/>
        <v>4.4969736915320482E-3</v>
      </c>
      <c r="P353" s="11">
        <f>(L353-$D353)^2</f>
        <v>0.56502189381132029</v>
      </c>
      <c r="Q353" s="11">
        <f>(M353-$D353)^2</f>
        <v>2.2920410357002683E-2</v>
      </c>
    </row>
    <row r="354" spans="1:17" x14ac:dyDescent="0.25">
      <c r="A354" s="3">
        <v>46195</v>
      </c>
      <c r="B354" s="4">
        <v>18</v>
      </c>
      <c r="C354" s="5">
        <v>18.662140656174682</v>
      </c>
      <c r="D354" s="6">
        <v>17.079999999999998</v>
      </c>
      <c r="E354">
        <v>17.245830535888668</v>
      </c>
      <c r="F354">
        <f t="shared" si="12"/>
        <v>2.5031690559208575</v>
      </c>
      <c r="G354">
        <f t="shared" si="12"/>
        <v>2.7499766633123479E-2</v>
      </c>
      <c r="K354">
        <v>17.245830535888668</v>
      </c>
      <c r="L354" s="15">
        <v>17.756864547729489</v>
      </c>
      <c r="M354" s="15">
        <v>16.844316482543949</v>
      </c>
      <c r="O354" s="11">
        <f t="shared" si="11"/>
        <v>2.7499766633123479E-2</v>
      </c>
      <c r="P354" s="11">
        <f>(L354-$D354)^2</f>
        <v>0.45814561597304748</v>
      </c>
      <c r="Q354" s="11">
        <f>(M354-$D354)^2</f>
        <v>5.5546720400455954E-2</v>
      </c>
    </row>
    <row r="355" spans="1:17" x14ac:dyDescent="0.25">
      <c r="A355" s="3">
        <v>46195</v>
      </c>
      <c r="B355" s="4">
        <v>19</v>
      </c>
      <c r="C355" s="5">
        <v>23.420388478798845</v>
      </c>
      <c r="D355" s="6">
        <v>22.21</v>
      </c>
      <c r="E355">
        <v>21.298408508300781</v>
      </c>
      <c r="F355">
        <f t="shared" si="12"/>
        <v>1.4650402696089799</v>
      </c>
      <c r="G355">
        <f t="shared" si="12"/>
        <v>0.83099904773840838</v>
      </c>
      <c r="K355">
        <v>21.298408508300781</v>
      </c>
      <c r="L355" s="15">
        <v>21.499599456787109</v>
      </c>
      <c r="M355" s="15">
        <v>20.295743942260739</v>
      </c>
      <c r="O355" s="11">
        <f t="shared" si="11"/>
        <v>0.83099904773840838</v>
      </c>
      <c r="P355" s="11">
        <f>(L355-$D355)^2</f>
        <v>0.50466893179717132</v>
      </c>
      <c r="Q355" s="11">
        <f>(M355-$D355)^2</f>
        <v>3.6643762545914615</v>
      </c>
    </row>
    <row r="356" spans="1:17" x14ac:dyDescent="0.25">
      <c r="A356" s="3">
        <v>46195</v>
      </c>
      <c r="B356" s="4">
        <v>20</v>
      </c>
      <c r="C356" s="5">
        <v>25.680254746881118</v>
      </c>
      <c r="D356" s="6">
        <v>24.75</v>
      </c>
      <c r="E356">
        <v>24.700384140014648</v>
      </c>
      <c r="F356">
        <f t="shared" si="12"/>
        <v>0.86537389409485366</v>
      </c>
      <c r="G356">
        <f t="shared" si="12"/>
        <v>2.4617335620860104E-3</v>
      </c>
      <c r="K356">
        <v>24.700384140014648</v>
      </c>
      <c r="L356" s="15">
        <v>24.718105316162109</v>
      </c>
      <c r="M356" s="15">
        <v>23.560405731201168</v>
      </c>
      <c r="O356" s="11">
        <f t="shared" si="11"/>
        <v>2.4617335620860104E-3</v>
      </c>
      <c r="P356" s="11">
        <f>(L356-$D356)^2</f>
        <v>1.0172708571190014E-3</v>
      </c>
      <c r="Q356" s="11">
        <f>(M356-$D356)^2</f>
        <v>1.415134524359027</v>
      </c>
    </row>
    <row r="357" spans="1:17" x14ac:dyDescent="0.25">
      <c r="A357" s="3">
        <v>46195</v>
      </c>
      <c r="B357" s="4">
        <v>21</v>
      </c>
      <c r="C357" s="5">
        <v>25.703493746768689</v>
      </c>
      <c r="D357" s="6">
        <v>24.75</v>
      </c>
      <c r="E357">
        <v>25.7575798034668</v>
      </c>
      <c r="F357">
        <f t="shared" si="12"/>
        <v>0.90915032512699379</v>
      </c>
      <c r="G357">
        <f t="shared" si="12"/>
        <v>1.0152170603541961</v>
      </c>
      <c r="K357">
        <v>25.7575798034668</v>
      </c>
      <c r="L357" s="15">
        <v>25.54704666137695</v>
      </c>
      <c r="M357" s="15">
        <v>24.635723114013668</v>
      </c>
      <c r="O357" s="11">
        <f t="shared" si="11"/>
        <v>1.0152170603541961</v>
      </c>
      <c r="P357" s="11">
        <f>(L357-$D357)^2</f>
        <v>0.63528338041214172</v>
      </c>
      <c r="Q357" s="11">
        <f>(M357-$D357)^2</f>
        <v>1.3059206670733049E-2</v>
      </c>
    </row>
    <row r="358" spans="1:17" x14ac:dyDescent="0.25">
      <c r="A358" s="3">
        <v>46195</v>
      </c>
      <c r="B358" s="4">
        <v>22</v>
      </c>
      <c r="C358" s="5">
        <v>22.080998999405615</v>
      </c>
      <c r="D358" s="6">
        <v>22.34</v>
      </c>
      <c r="E358">
        <v>22.375001907348629</v>
      </c>
      <c r="F358">
        <f t="shared" si="12"/>
        <v>6.7081518308892404E-2</v>
      </c>
      <c r="G358">
        <f t="shared" si="12"/>
        <v>1.225133518042037E-3</v>
      </c>
      <c r="K358">
        <v>22.375001907348629</v>
      </c>
      <c r="L358" s="15">
        <v>22.24112510681152</v>
      </c>
      <c r="M358" s="15">
        <v>21.552644729614261</v>
      </c>
      <c r="O358" s="11">
        <f t="shared" si="11"/>
        <v>1.225133518042037E-3</v>
      </c>
      <c r="P358" s="11">
        <f>(L358-$D358)^2</f>
        <v>9.7762445030333232E-3</v>
      </c>
      <c r="Q358" s="11">
        <f>(M358-$D358)^2</f>
        <v>0.61992832180419932</v>
      </c>
    </row>
    <row r="359" spans="1:17" x14ac:dyDescent="0.25">
      <c r="A359" s="3">
        <v>46195</v>
      </c>
      <c r="B359" s="4">
        <v>23</v>
      </c>
      <c r="C359" s="5">
        <v>14.766463323104924</v>
      </c>
      <c r="D359" s="6">
        <v>16.37</v>
      </c>
      <c r="E359">
        <v>15.96262741088867</v>
      </c>
      <c r="F359">
        <f t="shared" si="12"/>
        <v>2.5713298741477062</v>
      </c>
      <c r="G359">
        <f t="shared" si="12"/>
        <v>0.16595242635926924</v>
      </c>
      <c r="K359">
        <v>15.96262741088867</v>
      </c>
      <c r="L359" s="15">
        <v>15.24246215820312</v>
      </c>
      <c r="M359" s="15">
        <v>15.48518180847168</v>
      </c>
      <c r="O359" s="11">
        <f t="shared" si="11"/>
        <v>0.16595242635926924</v>
      </c>
      <c r="P359" s="11">
        <f>(L359-$D359)^2</f>
        <v>1.2713415846839691</v>
      </c>
      <c r="Q359" s="11">
        <f>(M359-$D359)^2</f>
        <v>0.78290323205944912</v>
      </c>
    </row>
    <row r="360" spans="1:17" x14ac:dyDescent="0.25">
      <c r="A360" s="3">
        <v>46195</v>
      </c>
      <c r="B360" s="4">
        <v>24</v>
      </c>
      <c r="C360" s="5">
        <v>8.5823625995763884</v>
      </c>
      <c r="D360" s="6">
        <v>9.59</v>
      </c>
      <c r="E360">
        <v>10.16095447540283</v>
      </c>
      <c r="F360">
        <f t="shared" si="12"/>
        <v>1.0153331307324536</v>
      </c>
      <c r="G360">
        <f t="shared" si="12"/>
        <v>0.32598901298252125</v>
      </c>
      <c r="K360">
        <v>10.16095447540283</v>
      </c>
      <c r="L360" s="15">
        <v>9.4473047256469727</v>
      </c>
      <c r="M360" s="15">
        <v>10.368484497070311</v>
      </c>
      <c r="O360" s="11">
        <f t="shared" si="11"/>
        <v>0.32598901298252125</v>
      </c>
      <c r="P360" s="11">
        <f>(L360-$D360)^2</f>
        <v>2.0361941322685703E-2</v>
      </c>
      <c r="Q360" s="11">
        <f>(M360-$D360)^2</f>
        <v>0.60603811217881487</v>
      </c>
    </row>
    <row r="361" spans="1:17" x14ac:dyDescent="0.25">
      <c r="A361" s="3">
        <v>46195</v>
      </c>
      <c r="B361" s="4">
        <v>25</v>
      </c>
      <c r="C361" s="5">
        <v>5.1271147186589241</v>
      </c>
      <c r="D361" s="6">
        <v>5.57</v>
      </c>
      <c r="E361">
        <v>5.8398261070251456</v>
      </c>
      <c r="F361">
        <f t="shared" si="12"/>
        <v>0.1961473724285642</v>
      </c>
      <c r="G361">
        <f t="shared" si="12"/>
        <v>7.2806128032345166E-2</v>
      </c>
      <c r="K361">
        <v>5.8398261070251456</v>
      </c>
      <c r="L361" s="15">
        <v>5.5635113716125488</v>
      </c>
      <c r="M361" s="15">
        <v>5.9705109596252441</v>
      </c>
      <c r="O361" s="11">
        <f t="shared" si="11"/>
        <v>7.2806128032345166E-2</v>
      </c>
      <c r="P361" s="11">
        <f>(L361-$D361)^2</f>
        <v>4.2102298350440881E-5</v>
      </c>
      <c r="Q361" s="11">
        <f>(M361-$D361)^2</f>
        <v>0.16040902877993371</v>
      </c>
    </row>
    <row r="362" spans="1:17" x14ac:dyDescent="0.25">
      <c r="A362" s="3">
        <v>46195</v>
      </c>
      <c r="B362" s="4">
        <v>26</v>
      </c>
      <c r="C362" s="5">
        <v>3.138297924353024</v>
      </c>
      <c r="D362" s="6">
        <v>3.63</v>
      </c>
      <c r="E362">
        <v>3.6223831176757808</v>
      </c>
      <c r="F362">
        <f t="shared" si="12"/>
        <v>0.24177093119554438</v>
      </c>
      <c r="G362">
        <f t="shared" si="12"/>
        <v>5.8016896341001166E-5</v>
      </c>
      <c r="K362">
        <v>3.6223831176757808</v>
      </c>
      <c r="L362" s="15">
        <v>3.4811387062072749</v>
      </c>
      <c r="M362" s="15">
        <v>4.1521248817443848</v>
      </c>
      <c r="O362" s="11">
        <f t="shared" si="11"/>
        <v>5.8016896341001166E-5</v>
      </c>
      <c r="P362" s="11">
        <f>(L362-$D362)^2</f>
        <v>2.2159684789643971E-2</v>
      </c>
      <c r="Q362" s="11">
        <f>(M362-$D362)^2</f>
        <v>0.27261439213658789</v>
      </c>
    </row>
    <row r="363" spans="1:17" x14ac:dyDescent="0.25">
      <c r="A363" s="3">
        <v>46195</v>
      </c>
      <c r="B363" s="4">
        <v>27</v>
      </c>
      <c r="C363" s="5">
        <v>2.2563622332388662</v>
      </c>
      <c r="D363" s="6">
        <v>2.52</v>
      </c>
      <c r="E363">
        <v>2.4716653823852539</v>
      </c>
      <c r="F363">
        <f t="shared" si="12"/>
        <v>6.9504872062797998E-2</v>
      </c>
      <c r="G363">
        <f t="shared" si="12"/>
        <v>2.3362352599637249E-3</v>
      </c>
      <c r="K363">
        <v>2.4716653823852539</v>
      </c>
      <c r="L363" s="15">
        <v>2.3358380794525151</v>
      </c>
      <c r="M363" s="15">
        <v>2.884114265441895</v>
      </c>
      <c r="O363" s="11">
        <f t="shared" si="11"/>
        <v>2.3362352599637249E-3</v>
      </c>
      <c r="P363" s="11">
        <f>(L363-$D363)^2</f>
        <v>3.3915612979738149E-2</v>
      </c>
      <c r="Q363" s="11">
        <f>(M363-$D363)^2</f>
        <v>0.13257919829829073</v>
      </c>
    </row>
    <row r="364" spans="1:17" x14ac:dyDescent="0.25">
      <c r="A364" s="3">
        <v>46195</v>
      </c>
      <c r="B364" s="4">
        <v>28</v>
      </c>
      <c r="C364" s="5">
        <v>1.9328322995533846</v>
      </c>
      <c r="D364" s="6">
        <v>2.06</v>
      </c>
      <c r="E364">
        <v>1.906430244445801</v>
      </c>
      <c r="F364">
        <f t="shared" si="12"/>
        <v>1.6171624036880109E-2</v>
      </c>
      <c r="G364">
        <f t="shared" si="12"/>
        <v>2.3583669820976452E-2</v>
      </c>
      <c r="K364">
        <v>1.906430244445801</v>
      </c>
      <c r="L364" s="15">
        <v>1.783124446868896</v>
      </c>
      <c r="M364" s="15">
        <v>2.0972802639007568</v>
      </c>
      <c r="O364" s="11">
        <f t="shared" si="11"/>
        <v>2.3583669820976452E-2</v>
      </c>
      <c r="P364" s="11">
        <f>(L364-$D364)^2</f>
        <v>7.6660071921654804E-2</v>
      </c>
      <c r="Q364" s="11">
        <f>(M364-$D364)^2</f>
        <v>1.3898180765100692E-3</v>
      </c>
    </row>
    <row r="365" spans="1:17" x14ac:dyDescent="0.25">
      <c r="A365" s="7">
        <v>46195</v>
      </c>
      <c r="B365" s="4">
        <v>29</v>
      </c>
      <c r="C365" s="5">
        <v>2.408628545444933</v>
      </c>
      <c r="D365" s="6">
        <v>2.44</v>
      </c>
      <c r="E365">
        <v>2.2864842414855961</v>
      </c>
      <c r="F365">
        <f t="shared" si="12"/>
        <v>9.8416816090063147E-4</v>
      </c>
      <c r="G365">
        <f t="shared" si="12"/>
        <v>2.3567088112252742E-2</v>
      </c>
      <c r="K365">
        <v>2.2864842414855961</v>
      </c>
      <c r="L365" s="15">
        <v>2.1342513561248779</v>
      </c>
      <c r="M365" s="15">
        <v>2.6413421630859379</v>
      </c>
      <c r="O365" s="11">
        <f t="shared" si="11"/>
        <v>2.3567088112252742E-2</v>
      </c>
      <c r="P365" s="11">
        <f>(L365-$D365)^2</f>
        <v>9.3482233231476183E-2</v>
      </c>
      <c r="Q365" s="11">
        <f>(M365-$D365)^2</f>
        <v>4.0538666636124453E-2</v>
      </c>
    </row>
    <row r="366" spans="1:17" x14ac:dyDescent="0.25">
      <c r="A366" s="3">
        <v>46196</v>
      </c>
      <c r="B366" s="4">
        <v>6</v>
      </c>
      <c r="C366" s="5">
        <v>4.109186247713728</v>
      </c>
      <c r="D366" s="6">
        <v>4.24</v>
      </c>
      <c r="E366">
        <v>4.0180583000183114</v>
      </c>
      <c r="F366">
        <f t="shared" si="12"/>
        <v>1.7112237787214196E-2</v>
      </c>
      <c r="G366">
        <f t="shared" si="12"/>
        <v>4.9258118190761951E-2</v>
      </c>
      <c r="K366">
        <v>4.0180583000183114</v>
      </c>
      <c r="L366" s="15">
        <v>3.621312141418457</v>
      </c>
      <c r="M366" s="15">
        <v>4.3564023971557617</v>
      </c>
      <c r="O366" s="11">
        <f t="shared" si="11"/>
        <v>4.9258118190761951E-2</v>
      </c>
      <c r="P366" s="11">
        <f>(L366-$D366)^2</f>
        <v>0.3827746663562156</v>
      </c>
      <c r="Q366" s="11">
        <f>(M366-$D366)^2</f>
        <v>1.3549518063607635E-2</v>
      </c>
    </row>
    <row r="367" spans="1:17" x14ac:dyDescent="0.25">
      <c r="A367" s="3">
        <v>46196</v>
      </c>
      <c r="B367" s="4">
        <v>7</v>
      </c>
      <c r="C367" s="5">
        <v>6.041748470649166</v>
      </c>
      <c r="D367" s="6">
        <v>5.6</v>
      </c>
      <c r="E367">
        <v>5.5161495208740234</v>
      </c>
      <c r="F367">
        <f t="shared" si="12"/>
        <v>0.19514171132087738</v>
      </c>
      <c r="G367">
        <f t="shared" si="12"/>
        <v>7.0309028496557714E-3</v>
      </c>
      <c r="K367">
        <v>5.5161495208740234</v>
      </c>
      <c r="L367" s="15">
        <v>5.3191986083984384</v>
      </c>
      <c r="M367" s="15">
        <v>5.6966524124145508</v>
      </c>
      <c r="O367" s="11">
        <f t="shared" si="11"/>
        <v>7.0309028496557714E-3</v>
      </c>
      <c r="P367" s="11">
        <f>(L367-$D367)^2</f>
        <v>7.8849421525373359E-2</v>
      </c>
      <c r="Q367" s="11">
        <f>(M367-$D367)^2</f>
        <v>9.3416888255524778E-3</v>
      </c>
    </row>
    <row r="368" spans="1:17" x14ac:dyDescent="0.25">
      <c r="A368" s="3">
        <v>46196</v>
      </c>
      <c r="B368" s="4">
        <v>8</v>
      </c>
      <c r="C368" s="5">
        <v>7.7461659657749813</v>
      </c>
      <c r="D368" s="6">
        <v>6.95</v>
      </c>
      <c r="E368">
        <v>7.1633853912353516</v>
      </c>
      <c r="F368">
        <f t="shared" si="12"/>
        <v>0.63388024505840834</v>
      </c>
      <c r="G368">
        <f t="shared" si="12"/>
        <v>4.5533325192663975E-2</v>
      </c>
      <c r="K368">
        <v>7.1633853912353516</v>
      </c>
      <c r="L368" s="15">
        <v>7.055485725402832</v>
      </c>
      <c r="M368" s="15">
        <v>7.2567386627197266</v>
      </c>
      <c r="O368" s="11">
        <f t="shared" si="11"/>
        <v>4.5533325192663975E-2</v>
      </c>
      <c r="P368" s="11">
        <f>(L368-$D368)^2</f>
        <v>1.1127238263761646E-2</v>
      </c>
      <c r="Q368" s="11">
        <f>(M368-$D368)^2</f>
        <v>9.4088607207086061E-2</v>
      </c>
    </row>
    <row r="369" spans="1:17" x14ac:dyDescent="0.25">
      <c r="A369" s="3">
        <v>46196</v>
      </c>
      <c r="B369" s="4">
        <v>9</v>
      </c>
      <c r="C369" s="5">
        <v>8.9094029437709956</v>
      </c>
      <c r="D369" s="6">
        <v>8.1300000000000008</v>
      </c>
      <c r="E369">
        <v>8.489898681640625</v>
      </c>
      <c r="F369">
        <f t="shared" si="12"/>
        <v>0.60746894875889257</v>
      </c>
      <c r="G369">
        <f t="shared" si="12"/>
        <v>0.1295270610466594</v>
      </c>
      <c r="K369">
        <v>8.489898681640625</v>
      </c>
      <c r="L369" s="15">
        <v>8.3764047622680664</v>
      </c>
      <c r="M369" s="15">
        <v>8.3552331924438477</v>
      </c>
      <c r="O369" s="11">
        <f t="shared" si="11"/>
        <v>0.1295270610466594</v>
      </c>
      <c r="P369" s="11">
        <f>(L369-$D369)^2</f>
        <v>6.0715306868381939E-2</v>
      </c>
      <c r="Q369" s="11">
        <f>(M369-$D369)^2</f>
        <v>5.0729990978446958E-2</v>
      </c>
    </row>
    <row r="370" spans="1:17" x14ac:dyDescent="0.25">
      <c r="A370" s="3">
        <v>46196</v>
      </c>
      <c r="B370" s="4">
        <v>10</v>
      </c>
      <c r="C370" s="5">
        <v>9.2442350867222647</v>
      </c>
      <c r="D370" s="6">
        <v>8.6</v>
      </c>
      <c r="E370">
        <v>8.8166160583496094</v>
      </c>
      <c r="F370">
        <f t="shared" si="12"/>
        <v>0.41503884696404436</v>
      </c>
      <c r="G370">
        <f t="shared" si="12"/>
        <v>4.6922516734921531E-2</v>
      </c>
      <c r="K370">
        <v>8.8166160583496094</v>
      </c>
      <c r="L370" s="15">
        <v>8.7051620483398438</v>
      </c>
      <c r="M370" s="15">
        <v>8.7276554107666016</v>
      </c>
      <c r="O370" s="11">
        <f t="shared" si="11"/>
        <v>4.6922516734921531E-2</v>
      </c>
      <c r="P370" s="11">
        <f>(L370-$D370)^2</f>
        <v>1.1059056411031708E-2</v>
      </c>
      <c r="Q370" s="11">
        <f>(M370-$D370)^2</f>
        <v>1.6295903897989863E-2</v>
      </c>
    </row>
    <row r="371" spans="1:17" x14ac:dyDescent="0.25">
      <c r="A371" s="3">
        <v>46196</v>
      </c>
      <c r="B371" s="4">
        <v>11</v>
      </c>
      <c r="C371" s="5">
        <v>9.3578055609053052</v>
      </c>
      <c r="D371" s="6">
        <v>8.01</v>
      </c>
      <c r="E371">
        <v>8.8880720138549805</v>
      </c>
      <c r="F371">
        <f t="shared" si="12"/>
        <v>1.8165798300072651</v>
      </c>
      <c r="G371">
        <f t="shared" si="12"/>
        <v>0.77101046151534136</v>
      </c>
      <c r="K371">
        <v>8.8880720138549805</v>
      </c>
      <c r="L371" s="15">
        <v>8.7330446243286133</v>
      </c>
      <c r="M371" s="15">
        <v>8.7073135375976563</v>
      </c>
      <c r="O371" s="11">
        <f t="shared" si="11"/>
        <v>0.77101046151534136</v>
      </c>
      <c r="P371" s="11">
        <f>(L371-$D371)^2</f>
        <v>0.52279352877050578</v>
      </c>
      <c r="Q371" s="11">
        <f>(M371-$D371)^2</f>
        <v>0.48624616971695828</v>
      </c>
    </row>
    <row r="372" spans="1:17" x14ac:dyDescent="0.25">
      <c r="A372" s="3">
        <v>46196</v>
      </c>
      <c r="B372" s="4">
        <v>12</v>
      </c>
      <c r="C372" s="5">
        <v>9.2891183675547033</v>
      </c>
      <c r="D372" s="6">
        <v>8.3800000000000008</v>
      </c>
      <c r="E372">
        <v>8.9268341064453125</v>
      </c>
      <c r="F372">
        <f t="shared" si="12"/>
        <v>0.82649620622532727</v>
      </c>
      <c r="G372">
        <f t="shared" si="12"/>
        <v>0.2990275399718425</v>
      </c>
      <c r="K372">
        <v>8.9268341064453125</v>
      </c>
      <c r="L372" s="15">
        <v>8.8010053634643555</v>
      </c>
      <c r="M372" s="15">
        <v>8.779515266418457</v>
      </c>
      <c r="O372" s="11">
        <f t="shared" si="11"/>
        <v>0.2990275399718425</v>
      </c>
      <c r="P372" s="11">
        <f>(L372-$D372)^2</f>
        <v>0.17724551606575339</v>
      </c>
      <c r="Q372" s="11">
        <f>(M372-$D372)^2</f>
        <v>0.15961244810141006</v>
      </c>
    </row>
    <row r="373" spans="1:17" x14ac:dyDescent="0.25">
      <c r="A373" s="3">
        <v>46196</v>
      </c>
      <c r="B373" s="4">
        <v>13</v>
      </c>
      <c r="C373" s="5">
        <v>9.2491105868765846</v>
      </c>
      <c r="D373" s="6">
        <v>8.69</v>
      </c>
      <c r="E373">
        <v>9.142582893371582</v>
      </c>
      <c r="F373">
        <f t="shared" si="12"/>
        <v>0.31260464835747942</v>
      </c>
      <c r="G373">
        <f t="shared" si="12"/>
        <v>0.20483127537259324</v>
      </c>
      <c r="K373">
        <v>9.142582893371582</v>
      </c>
      <c r="L373" s="15">
        <v>9.0485162734985352</v>
      </c>
      <c r="M373" s="15">
        <v>9.0880403518676758</v>
      </c>
      <c r="O373" s="11">
        <f t="shared" si="11"/>
        <v>0.20483127537259324</v>
      </c>
      <c r="P373" s="11">
        <f>(L373-$D373)^2</f>
        <v>0.12853391836327682</v>
      </c>
      <c r="Q373" s="11">
        <f>(M373-$D373)^2</f>
        <v>0.15843612171494353</v>
      </c>
    </row>
    <row r="374" spans="1:17" x14ac:dyDescent="0.25">
      <c r="A374" s="3">
        <v>46196</v>
      </c>
      <c r="B374" s="4">
        <v>14</v>
      </c>
      <c r="C374" s="5">
        <v>10.237952358323117</v>
      </c>
      <c r="D374" s="6">
        <v>9.25</v>
      </c>
      <c r="E374">
        <v>9.9891853332519531</v>
      </c>
      <c r="F374">
        <f t="shared" si="12"/>
        <v>0.97604986231620838</v>
      </c>
      <c r="G374">
        <f t="shared" si="12"/>
        <v>0.546394956894801</v>
      </c>
      <c r="K374">
        <v>9.9891853332519531</v>
      </c>
      <c r="L374" s="15">
        <v>10.0360860824585</v>
      </c>
      <c r="M374" s="15">
        <v>9.9939022064208984</v>
      </c>
      <c r="O374" s="11">
        <f t="shared" si="11"/>
        <v>0.546394956894801</v>
      </c>
      <c r="P374" s="11">
        <f>(L374-$D374)^2</f>
        <v>0.61793132903495107</v>
      </c>
      <c r="Q374" s="11">
        <f>(M374-$D374)^2</f>
        <v>0.55339049271788099</v>
      </c>
    </row>
    <row r="375" spans="1:17" x14ac:dyDescent="0.25">
      <c r="A375" s="3">
        <v>46196</v>
      </c>
      <c r="B375" s="4">
        <v>15</v>
      </c>
      <c r="C375" s="5">
        <v>11.899088317814249</v>
      </c>
      <c r="D375" s="6">
        <v>10.62</v>
      </c>
      <c r="E375">
        <v>11.538722991943359</v>
      </c>
      <c r="F375">
        <f t="shared" si="12"/>
        <v>1.6360669247688862</v>
      </c>
      <c r="G375">
        <f t="shared" si="12"/>
        <v>0.84405193592535943</v>
      </c>
      <c r="K375">
        <v>11.538722991943359</v>
      </c>
      <c r="L375" s="15">
        <v>11.746170043945311</v>
      </c>
      <c r="M375" s="15">
        <v>11.62691593170166</v>
      </c>
      <c r="O375" s="11">
        <f t="shared" si="11"/>
        <v>0.84405193592535943</v>
      </c>
      <c r="P375" s="11">
        <f>(L375-$D375)^2</f>
        <v>1.2682589678797849</v>
      </c>
      <c r="Q375" s="11">
        <f>(M375-$D375)^2</f>
        <v>1.0138796935146239</v>
      </c>
    </row>
    <row r="376" spans="1:17" x14ac:dyDescent="0.25">
      <c r="A376" s="3">
        <v>46196</v>
      </c>
      <c r="B376" s="4">
        <v>16</v>
      </c>
      <c r="C376" s="5">
        <v>14.28189939507479</v>
      </c>
      <c r="D376" s="6">
        <v>11.92</v>
      </c>
      <c r="E376">
        <v>13.56588077545166</v>
      </c>
      <c r="F376">
        <f t="shared" si="12"/>
        <v>5.5785687524546583</v>
      </c>
      <c r="G376">
        <f t="shared" si="12"/>
        <v>2.7089235270013585</v>
      </c>
      <c r="K376">
        <v>13.56588077545166</v>
      </c>
      <c r="L376" s="15">
        <v>13.97317409515381</v>
      </c>
      <c r="M376" s="15">
        <v>13.60997486114502</v>
      </c>
      <c r="O376" s="11">
        <f t="shared" si="11"/>
        <v>2.7089235270013585</v>
      </c>
      <c r="P376" s="11">
        <f>(L376-$D376)^2</f>
        <v>4.2155238650106686</v>
      </c>
      <c r="Q376" s="11">
        <f>(M376-$D376)^2</f>
        <v>2.8560150313021282</v>
      </c>
    </row>
    <row r="377" spans="1:17" x14ac:dyDescent="0.25">
      <c r="A377" s="3">
        <v>46196</v>
      </c>
      <c r="B377" s="4">
        <v>17</v>
      </c>
      <c r="C377" s="5">
        <v>16.595201613811664</v>
      </c>
      <c r="D377" s="6">
        <v>13.62</v>
      </c>
      <c r="E377">
        <v>15.216695785522459</v>
      </c>
      <c r="F377">
        <f t="shared" si="12"/>
        <v>8.851824642827534</v>
      </c>
      <c r="G377">
        <f t="shared" si="12"/>
        <v>2.5494374315051855</v>
      </c>
      <c r="K377">
        <v>15.216695785522459</v>
      </c>
      <c r="L377" s="15">
        <v>15.786436080932621</v>
      </c>
      <c r="M377" s="15">
        <v>15.558286666870121</v>
      </c>
      <c r="O377" s="11">
        <f t="shared" si="11"/>
        <v>2.5494374315051855</v>
      </c>
      <c r="P377" s="11">
        <f>(L377-$D377)^2</f>
        <v>4.6934452927666959</v>
      </c>
      <c r="Q377" s="11">
        <f>(M377-$D377)^2</f>
        <v>3.7569552029664854</v>
      </c>
    </row>
    <row r="378" spans="1:17" x14ac:dyDescent="0.25">
      <c r="A378" s="3">
        <v>46196</v>
      </c>
      <c r="B378" s="4">
        <v>18</v>
      </c>
      <c r="C378" s="5">
        <v>18.827041394822967</v>
      </c>
      <c r="D378" s="6">
        <v>16.54</v>
      </c>
      <c r="E378">
        <v>17.26633262634277</v>
      </c>
      <c r="F378">
        <f t="shared" si="12"/>
        <v>5.2305583416337846</v>
      </c>
      <c r="G378">
        <f t="shared" si="12"/>
        <v>0.52755908408998697</v>
      </c>
      <c r="K378">
        <v>17.26633262634277</v>
      </c>
      <c r="L378" s="15">
        <v>17.37650108337402</v>
      </c>
      <c r="M378" s="15">
        <v>17.126420974731449</v>
      </c>
      <c r="O378" s="11">
        <f t="shared" si="11"/>
        <v>0.52755908408998697</v>
      </c>
      <c r="P378" s="11">
        <f>(L378-$D378)^2</f>
        <v>0.69973406248591041</v>
      </c>
      <c r="Q378" s="11">
        <f>(M378-$D378)^2</f>
        <v>0.34388955960498357</v>
      </c>
    </row>
    <row r="379" spans="1:17" x14ac:dyDescent="0.25">
      <c r="A379" s="3">
        <v>46196</v>
      </c>
      <c r="B379" s="4">
        <v>19</v>
      </c>
      <c r="C379" s="5">
        <v>22.801954276440817</v>
      </c>
      <c r="D379" s="6">
        <v>21.66</v>
      </c>
      <c r="E379">
        <v>21.265323638916019</v>
      </c>
      <c r="F379">
        <f t="shared" si="12"/>
        <v>1.3040595694814701</v>
      </c>
      <c r="G379">
        <f t="shared" si="12"/>
        <v>0.15576942999849291</v>
      </c>
      <c r="K379">
        <v>21.265323638916019</v>
      </c>
      <c r="L379" s="15">
        <v>21.506841659545898</v>
      </c>
      <c r="M379" s="15">
        <v>21.095024108886719</v>
      </c>
      <c r="O379" s="11">
        <f t="shared" si="11"/>
        <v>0.15576942999849291</v>
      </c>
      <c r="P379" s="11">
        <f>(L379-$D379)^2</f>
        <v>2.3457477250654526E-2</v>
      </c>
      <c r="Q379" s="11">
        <f>(M379-$D379)^2</f>
        <v>0.3191977575392464</v>
      </c>
    </row>
    <row r="380" spans="1:17" x14ac:dyDescent="0.25">
      <c r="A380" s="3">
        <v>46196</v>
      </c>
      <c r="B380" s="4">
        <v>20</v>
      </c>
      <c r="C380" s="5">
        <v>25.116440222101438</v>
      </c>
      <c r="D380" s="6">
        <v>23.55</v>
      </c>
      <c r="E380">
        <v>24.441568374633789</v>
      </c>
      <c r="F380">
        <f t="shared" si="12"/>
        <v>2.4537349694172015</v>
      </c>
      <c r="G380">
        <f t="shared" si="12"/>
        <v>0.79489416664713519</v>
      </c>
      <c r="K380">
        <v>24.441568374633789</v>
      </c>
      <c r="L380" s="15">
        <v>24.74373626708984</v>
      </c>
      <c r="M380" s="15">
        <v>23.29366493225098</v>
      </c>
      <c r="O380" s="11">
        <f t="shared" si="11"/>
        <v>0.79489416664713519</v>
      </c>
      <c r="P380" s="11">
        <f>(L380-$D380)^2</f>
        <v>1.4250062753655846</v>
      </c>
      <c r="Q380" s="11">
        <f>(M380-$D380)^2</f>
        <v>6.5707666957894983E-2</v>
      </c>
    </row>
    <row r="381" spans="1:17" x14ac:dyDescent="0.25">
      <c r="A381" s="3">
        <v>46196</v>
      </c>
      <c r="B381" s="4">
        <v>21</v>
      </c>
      <c r="C381" s="5">
        <v>25.676606391885382</v>
      </c>
      <c r="D381" s="6">
        <v>24.42</v>
      </c>
      <c r="E381">
        <v>25.55147743225098</v>
      </c>
      <c r="F381">
        <f t="shared" si="12"/>
        <v>1.579059624127195</v>
      </c>
      <c r="G381">
        <f t="shared" si="12"/>
        <v>1.2802411796932673</v>
      </c>
      <c r="K381">
        <v>25.55147743225098</v>
      </c>
      <c r="L381" s="15">
        <v>25.39149284362793</v>
      </c>
      <c r="M381" s="15">
        <v>24.298294067382809</v>
      </c>
      <c r="O381" s="11">
        <f t="shared" si="11"/>
        <v>1.2802411796932673</v>
      </c>
      <c r="P381" s="11">
        <f>(L381-$D381)^2</f>
        <v>0.94379834522027772</v>
      </c>
      <c r="Q381" s="11">
        <f>(M381-$D381)^2</f>
        <v>1.4812334034220664E-2</v>
      </c>
    </row>
    <row r="382" spans="1:17" x14ac:dyDescent="0.25">
      <c r="A382" s="3">
        <v>46196</v>
      </c>
      <c r="B382" s="4">
        <v>22</v>
      </c>
      <c r="C382" s="5">
        <v>22.388395729451062</v>
      </c>
      <c r="D382" s="6">
        <v>23.45</v>
      </c>
      <c r="E382">
        <v>24.205656051635739</v>
      </c>
      <c r="F382">
        <f t="shared" si="12"/>
        <v>1.1270036272477406</v>
      </c>
      <c r="G382">
        <f t="shared" si="12"/>
        <v>0.57101606837371521</v>
      </c>
      <c r="K382">
        <v>24.205656051635739</v>
      </c>
      <c r="L382" s="15">
        <v>23.788234710693359</v>
      </c>
      <c r="M382" s="15">
        <v>22.925460815429691</v>
      </c>
      <c r="O382" s="11">
        <f t="shared" si="11"/>
        <v>0.57101606837371521</v>
      </c>
      <c r="P382" s="11">
        <f>(L382-$D382)^2</f>
        <v>0.11440271951782099</v>
      </c>
      <c r="Q382" s="11">
        <f>(M382-$D382)^2</f>
        <v>0.27514135614968388</v>
      </c>
    </row>
    <row r="383" spans="1:17" x14ac:dyDescent="0.25">
      <c r="A383" s="3">
        <v>46196</v>
      </c>
      <c r="B383" s="4">
        <v>23</v>
      </c>
      <c r="C383" s="5">
        <v>14.725731230814425</v>
      </c>
      <c r="D383" s="6">
        <v>17.18</v>
      </c>
      <c r="E383">
        <v>16.620283126831051</v>
      </c>
      <c r="F383">
        <f t="shared" si="12"/>
        <v>6.0234351913996758</v>
      </c>
      <c r="G383">
        <f t="shared" si="12"/>
        <v>0.31328297811002487</v>
      </c>
      <c r="K383">
        <v>16.620283126831051</v>
      </c>
      <c r="L383" s="15">
        <v>15.70505332946777</v>
      </c>
      <c r="M383" s="15">
        <v>16.478935241699219</v>
      </c>
      <c r="O383" s="11">
        <f t="shared" si="11"/>
        <v>0.31328297811002487</v>
      </c>
      <c r="P383" s="11">
        <f>(L383-$D383)^2</f>
        <v>2.1754676809141102</v>
      </c>
      <c r="Q383" s="11">
        <f>(M383-$D383)^2</f>
        <v>0.49149179533133242</v>
      </c>
    </row>
    <row r="384" spans="1:17" x14ac:dyDescent="0.25">
      <c r="A384" s="3">
        <v>46196</v>
      </c>
      <c r="B384" s="4">
        <v>24</v>
      </c>
      <c r="C384" s="5">
        <v>8.2528916891726993</v>
      </c>
      <c r="D384" s="6">
        <v>8.7100000000000009</v>
      </c>
      <c r="E384">
        <v>9.4337129592895508</v>
      </c>
      <c r="F384">
        <f t="shared" si="12"/>
        <v>0.2089480078273889</v>
      </c>
      <c r="G384">
        <f t="shared" si="12"/>
        <v>0.5237604474436377</v>
      </c>
      <c r="K384">
        <v>9.4337129592895508</v>
      </c>
      <c r="L384" s="15">
        <v>8.9867792129516602</v>
      </c>
      <c r="M384" s="15">
        <v>9.3202934265136719</v>
      </c>
      <c r="O384" s="11">
        <f t="shared" si="11"/>
        <v>0.5237604474436377</v>
      </c>
      <c r="P384" s="11">
        <f>(L384-$D384)^2</f>
        <v>7.660673272213997E-2</v>
      </c>
      <c r="Q384" s="11">
        <f>(M384-$D384)^2</f>
        <v>0.3724580664457976</v>
      </c>
    </row>
    <row r="385" spans="1:17" x14ac:dyDescent="0.25">
      <c r="A385" s="3">
        <v>46196</v>
      </c>
      <c r="B385" s="4">
        <v>25</v>
      </c>
      <c r="C385" s="5">
        <v>4.9175686406135233</v>
      </c>
      <c r="D385" s="6">
        <v>4.99</v>
      </c>
      <c r="E385">
        <v>5.7082152366638184</v>
      </c>
      <c r="F385">
        <f t="shared" si="12"/>
        <v>5.2463018225729803E-3</v>
      </c>
      <c r="G385">
        <f t="shared" si="12"/>
        <v>0.51583312617606436</v>
      </c>
      <c r="K385">
        <v>5.7082152366638184</v>
      </c>
      <c r="L385" s="15">
        <v>5.3923492431640616</v>
      </c>
      <c r="M385" s="15">
        <v>6.0432467460632324</v>
      </c>
      <c r="O385" s="11">
        <f t="shared" si="11"/>
        <v>0.51583312617606436</v>
      </c>
      <c r="P385" s="11">
        <f>(L385-$D385)^2</f>
        <v>0.161884913474693</v>
      </c>
      <c r="Q385" s="11">
        <f>(M385-$D385)^2</f>
        <v>1.1093287080927867</v>
      </c>
    </row>
    <row r="386" spans="1:17" x14ac:dyDescent="0.25">
      <c r="A386" s="13">
        <v>46196</v>
      </c>
      <c r="B386">
        <v>26</v>
      </c>
      <c r="C386">
        <v>3.2553040791956822</v>
      </c>
      <c r="D386" s="12">
        <v>3.09</v>
      </c>
      <c r="E386">
        <v>3.5950026512146001</v>
      </c>
      <c r="F386">
        <f t="shared" ref="F386:G409" si="13">(C386-D386)^2</f>
        <v>2.7325438598732422E-2</v>
      </c>
      <c r="G386">
        <f t="shared" ref="G386:G409" si="14">(D386-E386)^2</f>
        <v>0.25502767773377516</v>
      </c>
      <c r="K386">
        <v>3.5950026512146001</v>
      </c>
      <c r="L386" s="15">
        <v>3.4516406059265141</v>
      </c>
      <c r="M386" s="15">
        <v>4.1582145690917969</v>
      </c>
      <c r="O386" s="11">
        <f t="shared" ref="O386:O409" si="15">(K386-$D386)^2</f>
        <v>0.25502767773377516</v>
      </c>
      <c r="P386" s="11">
        <f>(L386-$D386)^2</f>
        <v>0.13078392785489637</v>
      </c>
      <c r="Q386" s="11">
        <f>(M386-$D386)^2</f>
        <v>1.1410823656199736</v>
      </c>
    </row>
    <row r="387" spans="1:17" x14ac:dyDescent="0.25">
      <c r="A387" s="13">
        <v>46196</v>
      </c>
      <c r="B387">
        <v>27</v>
      </c>
      <c r="C387">
        <v>2.2274345122999057</v>
      </c>
      <c r="D387" s="12">
        <v>2.0499999999999998</v>
      </c>
      <c r="E387">
        <v>2.4413177967071529</v>
      </c>
      <c r="F387">
        <f t="shared" si="13"/>
        <v>3.1483006155105464E-2</v>
      </c>
      <c r="G387">
        <f t="shared" si="14"/>
        <v>0.15312961801974076</v>
      </c>
      <c r="K387">
        <v>2.4413177967071529</v>
      </c>
      <c r="L387" s="15">
        <v>2.2907745838165279</v>
      </c>
      <c r="M387" s="15">
        <v>2.6285500526428218</v>
      </c>
      <c r="O387" s="11">
        <f t="shared" si="15"/>
        <v>0.15312961801974076</v>
      </c>
      <c r="P387" s="11">
        <f>(L387-$D387)^2</f>
        <v>5.7972400212022296E-2</v>
      </c>
      <c r="Q387" s="11">
        <f>(M387-$D387)^2</f>
        <v>0.33472016341301208</v>
      </c>
    </row>
    <row r="388" spans="1:17" x14ac:dyDescent="0.25">
      <c r="A388" s="13">
        <v>46196</v>
      </c>
      <c r="B388">
        <v>28</v>
      </c>
      <c r="C388">
        <v>1.9288025672832814</v>
      </c>
      <c r="D388" s="12">
        <v>1.91</v>
      </c>
      <c r="E388">
        <v>1.92509388923645</v>
      </c>
      <c r="F388">
        <f t="shared" si="13"/>
        <v>3.5353653644232583E-4</v>
      </c>
      <c r="G388">
        <f t="shared" si="14"/>
        <v>2.2782549228222277E-4</v>
      </c>
      <c r="K388">
        <v>1.92509388923645</v>
      </c>
      <c r="L388" s="15">
        <v>1.7381947040557859</v>
      </c>
      <c r="M388" s="15">
        <v>2.2465107440948491</v>
      </c>
      <c r="O388" s="11">
        <f t="shared" si="15"/>
        <v>2.2782549228222277E-4</v>
      </c>
      <c r="P388" s="11">
        <f>(L388-$D388)^2</f>
        <v>2.951705971447896E-2</v>
      </c>
      <c r="Q388" s="11">
        <f>(M388-$D388)^2</f>
        <v>0.11323948089126906</v>
      </c>
    </row>
    <row r="389" spans="1:17" x14ac:dyDescent="0.25">
      <c r="A389" s="14">
        <v>46196</v>
      </c>
      <c r="B389">
        <v>29</v>
      </c>
      <c r="C389">
        <v>2.3809960955927929</v>
      </c>
      <c r="D389" s="12">
        <v>2.2999999999999998</v>
      </c>
      <c r="E389">
        <v>2.3149363994598389</v>
      </c>
      <c r="F389">
        <f t="shared" si="13"/>
        <v>6.5603675012768752E-3</v>
      </c>
      <c r="G389">
        <f t="shared" si="14"/>
        <v>2.230960288238801E-4</v>
      </c>
      <c r="K389">
        <v>2.3149363994598389</v>
      </c>
      <c r="L389" s="15">
        <v>2.0946295261383061</v>
      </c>
      <c r="M389" s="15">
        <v>2.7033495903015141</v>
      </c>
      <c r="O389" s="11">
        <f t="shared" si="15"/>
        <v>2.230960288238801E-4</v>
      </c>
      <c r="P389" s="11">
        <f>(L389-$D389)^2</f>
        <v>4.2177031534176623E-2</v>
      </c>
      <c r="Q389" s="11">
        <f>(M389-$D389)^2</f>
        <v>0.16269089199639944</v>
      </c>
    </row>
    <row r="390" spans="1:17" x14ac:dyDescent="0.25">
      <c r="A390" s="13">
        <v>46197</v>
      </c>
      <c r="B390">
        <v>6</v>
      </c>
      <c r="C390">
        <v>4.1702393059907772</v>
      </c>
      <c r="D390" s="12">
        <v>3.52</v>
      </c>
      <c r="E390">
        <v>3.9435806274414058</v>
      </c>
      <c r="F390">
        <f t="shared" si="13"/>
        <v>0.42281115505536754</v>
      </c>
      <c r="G390">
        <f t="shared" si="14"/>
        <v>0.179420547943655</v>
      </c>
      <c r="K390">
        <v>3.9435806274414058</v>
      </c>
      <c r="L390" s="15">
        <v>3.548017024993896</v>
      </c>
      <c r="M390" s="15">
        <v>4.1276426315307617</v>
      </c>
      <c r="O390" s="11">
        <f t="shared" si="15"/>
        <v>0.179420547943655</v>
      </c>
      <c r="P390" s="11">
        <f>(L390-$D390)^2</f>
        <v>7.8495368950859444E-4</v>
      </c>
      <c r="Q390" s="11">
        <f>(M390-$D390)^2</f>
        <v>0.36922956765362902</v>
      </c>
    </row>
    <row r="391" spans="1:17" x14ac:dyDescent="0.25">
      <c r="A391" s="13">
        <v>46197</v>
      </c>
      <c r="B391">
        <v>7</v>
      </c>
      <c r="C391">
        <v>6.1034988955836145</v>
      </c>
      <c r="D391" s="12">
        <v>5.55</v>
      </c>
      <c r="E391">
        <v>5.5243897438049316</v>
      </c>
      <c r="F391">
        <f t="shared" si="13"/>
        <v>0.30636102741228116</v>
      </c>
      <c r="G391">
        <f t="shared" si="14"/>
        <v>6.5588522237702818E-4</v>
      </c>
      <c r="K391">
        <v>5.5243897438049316</v>
      </c>
      <c r="L391" s="15">
        <v>5.2980599403381348</v>
      </c>
      <c r="M391" s="15">
        <v>5.7244372367858887</v>
      </c>
      <c r="O391" s="11">
        <f t="shared" si="15"/>
        <v>6.5588522237702818E-4</v>
      </c>
      <c r="P391" s="11">
        <f>(L391-$D391)^2</f>
        <v>6.347379366242413E-2</v>
      </c>
      <c r="Q391" s="11">
        <f>(M391-$D391)^2</f>
        <v>3.0428349577496253E-2</v>
      </c>
    </row>
    <row r="392" spans="1:17" x14ac:dyDescent="0.25">
      <c r="A392" s="13">
        <v>46197</v>
      </c>
      <c r="B392">
        <v>8</v>
      </c>
      <c r="C392">
        <v>7.6625191028790836</v>
      </c>
      <c r="D392" s="12">
        <v>6.42</v>
      </c>
      <c r="E392">
        <v>7.1300477981567383</v>
      </c>
      <c r="F392">
        <f t="shared" si="13"/>
        <v>1.5438537210194427</v>
      </c>
      <c r="G392">
        <f t="shared" si="14"/>
        <v>0.5041678756672322</v>
      </c>
      <c r="K392">
        <v>7.1300477981567383</v>
      </c>
      <c r="L392" s="15">
        <v>7.0227985382080078</v>
      </c>
      <c r="M392" s="15">
        <v>7.1991329193115234</v>
      </c>
      <c r="O392" s="11">
        <f t="shared" si="15"/>
        <v>0.5041678756672322</v>
      </c>
      <c r="P392" s="11">
        <f>(L392-$D392)^2</f>
        <v>0.36336607766571116</v>
      </c>
      <c r="Q392" s="11">
        <f>(M392-$D392)^2</f>
        <v>0.607048105954897</v>
      </c>
    </row>
    <row r="393" spans="1:17" x14ac:dyDescent="0.25">
      <c r="A393" s="13">
        <v>46197</v>
      </c>
      <c r="B393">
        <v>9</v>
      </c>
      <c r="C393">
        <v>8.6188290066278537</v>
      </c>
      <c r="D393" s="12">
        <v>7.23</v>
      </c>
      <c r="E393">
        <v>8.4678211212158203</v>
      </c>
      <c r="F393">
        <f t="shared" si="13"/>
        <v>1.9288460096509097</v>
      </c>
      <c r="G393">
        <f t="shared" si="14"/>
        <v>1.5322011281279895</v>
      </c>
      <c r="K393">
        <v>8.4678211212158203</v>
      </c>
      <c r="L393" s="15">
        <v>8.4253015518188477</v>
      </c>
      <c r="M393" s="15">
        <v>8.3619604110717773</v>
      </c>
      <c r="O393" s="11">
        <f t="shared" si="15"/>
        <v>1.5322011281279895</v>
      </c>
      <c r="P393" s="11">
        <f>(L393-$D393)^2</f>
        <v>1.4287457997805444</v>
      </c>
      <c r="Q393" s="11">
        <f>(M393-$D393)^2</f>
        <v>1.2813343722337862</v>
      </c>
    </row>
    <row r="394" spans="1:17" x14ac:dyDescent="0.25">
      <c r="A394" s="13">
        <v>46197</v>
      </c>
      <c r="B394">
        <v>10</v>
      </c>
      <c r="C394">
        <v>9.0089782209570135</v>
      </c>
      <c r="D394" s="12">
        <v>8.1</v>
      </c>
      <c r="E394">
        <v>8.7986087799072266</v>
      </c>
      <c r="F394">
        <f t="shared" si="13"/>
        <v>0.82624140617417796</v>
      </c>
      <c r="G394">
        <f t="shared" si="14"/>
        <v>0.48805422736346421</v>
      </c>
      <c r="K394">
        <v>8.7986087799072266</v>
      </c>
      <c r="L394" s="15">
        <v>8.7571220397949219</v>
      </c>
      <c r="M394" s="15">
        <v>8.7564220428466797</v>
      </c>
      <c r="O394" s="11">
        <f t="shared" si="15"/>
        <v>0.48805422736346421</v>
      </c>
      <c r="P394" s="11">
        <f>(L394-$D394)^2</f>
        <v>0.43180937518423934</v>
      </c>
      <c r="Q394" s="11">
        <f>(M394-$D394)^2</f>
        <v>0.43088989833500863</v>
      </c>
    </row>
    <row r="395" spans="1:17" x14ac:dyDescent="0.25">
      <c r="A395" s="13">
        <v>46197</v>
      </c>
      <c r="B395">
        <v>11</v>
      </c>
      <c r="C395">
        <v>8.9965083526077709</v>
      </c>
      <c r="D395" s="12">
        <v>8.44</v>
      </c>
      <c r="E395">
        <v>8.6837797164916992</v>
      </c>
      <c r="F395">
        <f t="shared" si="13"/>
        <v>0.30970154652221565</v>
      </c>
      <c r="G395">
        <f t="shared" si="14"/>
        <v>5.9428550172773494E-2</v>
      </c>
      <c r="K395">
        <v>8.6837797164916992</v>
      </c>
      <c r="L395" s="15">
        <v>8.8046426773071289</v>
      </c>
      <c r="M395" s="15">
        <v>8.5998945236206055</v>
      </c>
      <c r="O395" s="11">
        <f t="shared" si="15"/>
        <v>5.9428550172773494E-2</v>
      </c>
      <c r="P395" s="11">
        <f>(L395-$D395)^2</f>
        <v>0.13296428211371131</v>
      </c>
      <c r="Q395" s="11">
        <f>(M395-$D395)^2</f>
        <v>2.5566258683860518E-2</v>
      </c>
    </row>
    <row r="396" spans="1:17" x14ac:dyDescent="0.25">
      <c r="A396" s="13">
        <v>46197</v>
      </c>
      <c r="B396">
        <v>12</v>
      </c>
      <c r="C396">
        <v>9.1164770860366851</v>
      </c>
      <c r="D396" s="12">
        <v>8.6199999999999992</v>
      </c>
      <c r="E396">
        <v>8.6885347366333008</v>
      </c>
      <c r="F396">
        <f t="shared" si="13"/>
        <v>0.24648949695947875</v>
      </c>
      <c r="G396">
        <f t="shared" si="14"/>
        <v>4.6970101253960075E-3</v>
      </c>
      <c r="K396">
        <v>8.6885347366333008</v>
      </c>
      <c r="L396" s="15">
        <v>8.9180126190185547</v>
      </c>
      <c r="M396" s="15">
        <v>8.6900825500488281</v>
      </c>
      <c r="O396" s="11">
        <f t="shared" si="15"/>
        <v>4.6970101253960075E-3</v>
      </c>
      <c r="P396" s="11">
        <f>(L396-$D396)^2</f>
        <v>8.8811521094298684E-2</v>
      </c>
      <c r="Q396" s="11">
        <f>(M396-$D396)^2</f>
        <v>4.9115638213466086E-3</v>
      </c>
    </row>
    <row r="397" spans="1:17" x14ac:dyDescent="0.25">
      <c r="A397" s="13">
        <v>46197</v>
      </c>
      <c r="B397">
        <v>13</v>
      </c>
      <c r="C397">
        <v>9.3575612074553671</v>
      </c>
      <c r="D397" s="12">
        <v>8.94</v>
      </c>
      <c r="E397">
        <v>8.9948205947875977</v>
      </c>
      <c r="F397">
        <f t="shared" si="13"/>
        <v>0.17435736197158455</v>
      </c>
      <c r="G397">
        <f t="shared" si="14"/>
        <v>3.0052976128660341E-3</v>
      </c>
      <c r="K397">
        <v>8.9948205947875977</v>
      </c>
      <c r="L397" s="15">
        <v>9.2357864379882813</v>
      </c>
      <c r="M397" s="15">
        <v>9.1052064895629883</v>
      </c>
      <c r="O397" s="11">
        <f t="shared" si="15"/>
        <v>3.0052976128660341E-3</v>
      </c>
      <c r="P397" s="11">
        <f>(L397-$D397)^2</f>
        <v>8.748961689779565E-2</v>
      </c>
      <c r="Q397" s="11">
        <f>(M397-$D397)^2</f>
        <v>2.7293184193725919E-2</v>
      </c>
    </row>
    <row r="398" spans="1:17" x14ac:dyDescent="0.25">
      <c r="A398" s="13">
        <v>46197</v>
      </c>
      <c r="B398">
        <v>14</v>
      </c>
      <c r="C398">
        <v>10.29544580572948</v>
      </c>
      <c r="D398" s="12">
        <v>10.17</v>
      </c>
      <c r="E398">
        <v>9.9433488845825195</v>
      </c>
      <c r="F398">
        <f t="shared" si="13"/>
        <v>1.5736650175118563E-2</v>
      </c>
      <c r="G398">
        <f t="shared" si="14"/>
        <v>5.1370728119988017E-2</v>
      </c>
      <c r="K398">
        <v>9.9433488845825195</v>
      </c>
      <c r="L398" s="15">
        <v>10.26845073699951</v>
      </c>
      <c r="M398" s="15">
        <v>10.0673713684082</v>
      </c>
      <c r="O398" s="11">
        <f t="shared" si="15"/>
        <v>5.1370728119988017E-2</v>
      </c>
      <c r="P398" s="11">
        <f>(L398-$D398)^2</f>
        <v>9.6925476157466908E-3</v>
      </c>
      <c r="Q398" s="11">
        <f>(M398-$D398)^2</f>
        <v>1.0532636022405482E-2</v>
      </c>
    </row>
    <row r="399" spans="1:17" x14ac:dyDescent="0.25">
      <c r="A399" s="13">
        <v>46197</v>
      </c>
      <c r="B399">
        <v>15</v>
      </c>
      <c r="C399">
        <v>12.087602385018739</v>
      </c>
      <c r="D399" s="12">
        <v>11.15</v>
      </c>
      <c r="E399">
        <v>11.42278385162354</v>
      </c>
      <c r="F399">
        <f t="shared" si="13"/>
        <v>0.87909823239282714</v>
      </c>
      <c r="G399">
        <f t="shared" si="14"/>
        <v>7.4411029706573553E-2</v>
      </c>
      <c r="K399">
        <v>11.42278385162354</v>
      </c>
      <c r="L399" s="15">
        <v>12.007712364196779</v>
      </c>
      <c r="M399" s="15">
        <v>11.73447895050049</v>
      </c>
      <c r="O399" s="11">
        <f t="shared" si="15"/>
        <v>7.4411029706573553E-2</v>
      </c>
      <c r="P399" s="11">
        <f>(L399-$D399)^2</f>
        <v>0.7356704996960276</v>
      </c>
      <c r="Q399" s="11">
        <f>(M399-$D399)^2</f>
        <v>0.34161564357815388</v>
      </c>
    </row>
    <row r="400" spans="1:17" x14ac:dyDescent="0.25">
      <c r="A400" s="13">
        <v>46197</v>
      </c>
      <c r="B400">
        <v>16</v>
      </c>
      <c r="C400">
        <v>14.316492453489882</v>
      </c>
      <c r="D400" s="12">
        <v>13.52</v>
      </c>
      <c r="E400">
        <v>13.62668037414551</v>
      </c>
      <c r="F400">
        <f t="shared" si="13"/>
        <v>0.63440022846633304</v>
      </c>
      <c r="G400">
        <f t="shared" si="14"/>
        <v>1.1380702227826002E-2</v>
      </c>
      <c r="K400">
        <v>13.62668037414551</v>
      </c>
      <c r="L400" s="15">
        <v>14.27411556243896</v>
      </c>
      <c r="M400" s="15">
        <v>13.843671798706049</v>
      </c>
      <c r="O400" s="11">
        <f t="shared" si="15"/>
        <v>1.1380702227826002E-2</v>
      </c>
      <c r="P400" s="11">
        <f>(L400-$D400)^2</f>
        <v>0.5686902815126289</v>
      </c>
      <c r="Q400" s="11">
        <f>(M400-$D400)^2</f>
        <v>0.1047634332776096</v>
      </c>
    </row>
    <row r="401" spans="1:17" x14ac:dyDescent="0.25">
      <c r="A401" s="13">
        <v>46197</v>
      </c>
      <c r="B401">
        <v>17</v>
      </c>
      <c r="C401">
        <v>16.622558107179028</v>
      </c>
      <c r="D401" s="12">
        <v>14.67</v>
      </c>
      <c r="E401">
        <v>15.31447792053223</v>
      </c>
      <c r="F401">
        <f t="shared" si="13"/>
        <v>3.8124831619105493</v>
      </c>
      <c r="G401">
        <f t="shared" si="14"/>
        <v>0.41535179005354761</v>
      </c>
      <c r="K401">
        <v>15.31447792053223</v>
      </c>
      <c r="L401" s="15">
        <v>16.09452056884766</v>
      </c>
      <c r="M401" s="15">
        <v>15.7240104675293</v>
      </c>
      <c r="O401" s="11">
        <f t="shared" si="15"/>
        <v>0.41535179005354761</v>
      </c>
      <c r="P401" s="11">
        <f>(L401-$D401)^2</f>
        <v>2.0292588510700607</v>
      </c>
      <c r="Q401" s="11">
        <f>(M401-$D401)^2</f>
        <v>1.1109380656613346</v>
      </c>
    </row>
    <row r="402" spans="1:17" x14ac:dyDescent="0.25">
      <c r="A402" s="13">
        <v>46197</v>
      </c>
      <c r="B402">
        <v>18</v>
      </c>
      <c r="C402">
        <v>18.629536835148002</v>
      </c>
      <c r="D402" s="12">
        <v>15.37</v>
      </c>
      <c r="E402">
        <v>17.265766143798832</v>
      </c>
      <c r="F402">
        <f t="shared" si="13"/>
        <v>10.624580379686659</v>
      </c>
      <c r="G402">
        <f t="shared" si="14"/>
        <v>3.5939292719738956</v>
      </c>
      <c r="K402">
        <v>17.265766143798832</v>
      </c>
      <c r="L402" s="15">
        <v>17.808919906616211</v>
      </c>
      <c r="M402" s="15">
        <v>17.220157623291019</v>
      </c>
      <c r="O402" s="11">
        <f t="shared" si="15"/>
        <v>3.5939292719738956</v>
      </c>
      <c r="P402" s="11">
        <f>(L402-$D402)^2</f>
        <v>5.9483303108888306</v>
      </c>
      <c r="Q402" s="11">
        <f>(M402-$D402)^2</f>
        <v>3.4230832310218755</v>
      </c>
    </row>
    <row r="403" spans="1:17" x14ac:dyDescent="0.25">
      <c r="A403" s="13">
        <v>46197</v>
      </c>
      <c r="B403">
        <v>19</v>
      </c>
      <c r="C403">
        <v>22.083390849707811</v>
      </c>
      <c r="D403" s="12">
        <v>18.579999999999998</v>
      </c>
      <c r="E403">
        <v>20.533454895019531</v>
      </c>
      <c r="F403">
        <f t="shared" si="13"/>
        <v>12.273747445816433</v>
      </c>
      <c r="G403">
        <f t="shared" si="14"/>
        <v>3.8159860268757746</v>
      </c>
      <c r="K403">
        <v>20.533454895019531</v>
      </c>
      <c r="L403" s="15">
        <v>21.26229286193848</v>
      </c>
      <c r="M403" s="15">
        <v>20.20758056640625</v>
      </c>
      <c r="O403" s="11">
        <f t="shared" si="15"/>
        <v>3.8159860268757746</v>
      </c>
      <c r="P403" s="11">
        <f>(L403-$D403)^2</f>
        <v>7.1946949972061311</v>
      </c>
      <c r="Q403" s="11">
        <f>(M403-$D403)^2</f>
        <v>2.6490185001432951</v>
      </c>
    </row>
    <row r="404" spans="1:17" x14ac:dyDescent="0.25">
      <c r="A404" s="13">
        <v>46197</v>
      </c>
      <c r="B404">
        <v>20</v>
      </c>
      <c r="C404">
        <v>24.791566014638327</v>
      </c>
      <c r="D404" s="12">
        <v>21.34</v>
      </c>
      <c r="E404">
        <v>23.54549598693848</v>
      </c>
      <c r="F404">
        <f t="shared" si="13"/>
        <v>11.913307953406308</v>
      </c>
      <c r="G404">
        <f t="shared" si="14"/>
        <v>4.8642125484017411</v>
      </c>
      <c r="K404">
        <v>23.54549598693848</v>
      </c>
      <c r="L404" s="15">
        <v>23.793453216552731</v>
      </c>
      <c r="M404" s="15">
        <v>22.749965667724609</v>
      </c>
      <c r="O404" s="11">
        <f t="shared" si="15"/>
        <v>4.8642125484017411</v>
      </c>
      <c r="P404" s="11">
        <f>(L404-$D404)^2</f>
        <v>6.0194326858129417</v>
      </c>
      <c r="Q404" s="11">
        <f>(M404-$D404)^2</f>
        <v>1.988003184162104</v>
      </c>
    </row>
    <row r="405" spans="1:17" x14ac:dyDescent="0.25">
      <c r="A405" s="13">
        <v>46197</v>
      </c>
      <c r="B405">
        <v>21</v>
      </c>
      <c r="C405">
        <v>25.663883384463524</v>
      </c>
      <c r="D405" s="12">
        <v>24.67</v>
      </c>
      <c r="E405">
        <v>25.570512771606449</v>
      </c>
      <c r="F405">
        <f t="shared" si="13"/>
        <v>0.98780418191266639</v>
      </c>
      <c r="G405">
        <f t="shared" si="14"/>
        <v>0.8109232518263253</v>
      </c>
      <c r="K405">
        <v>25.570512771606449</v>
      </c>
      <c r="L405" s="15">
        <v>25.672060012817379</v>
      </c>
      <c r="M405" s="15">
        <v>24.79110145568848</v>
      </c>
      <c r="O405" s="11">
        <f t="shared" si="15"/>
        <v>0.8109232518263253</v>
      </c>
      <c r="P405" s="11">
        <f>(L405-$D405)^2</f>
        <v>1.0041242692875629</v>
      </c>
      <c r="Q405" s="11">
        <f>(M405-$D405)^2</f>
        <v>1.46655625698685E-2</v>
      </c>
    </row>
    <row r="406" spans="1:17" x14ac:dyDescent="0.25">
      <c r="A406" s="13">
        <v>46197</v>
      </c>
      <c r="B406">
        <v>22</v>
      </c>
      <c r="C406">
        <v>22.884950839606919</v>
      </c>
      <c r="D406" s="12">
        <v>23.11</v>
      </c>
      <c r="E406">
        <v>23.968633651733398</v>
      </c>
      <c r="F406">
        <f t="shared" si="13"/>
        <v>5.0647124593630438E-2</v>
      </c>
      <c r="G406">
        <f t="shared" si="14"/>
        <v>0.73725174788903192</v>
      </c>
      <c r="K406">
        <v>23.968633651733398</v>
      </c>
      <c r="L406" s="15">
        <v>23.600738525390621</v>
      </c>
      <c r="M406" s="15">
        <v>23.366743087768551</v>
      </c>
      <c r="O406" s="11">
        <f t="shared" si="15"/>
        <v>0.73725174788903192</v>
      </c>
      <c r="P406" s="11">
        <f>(L406-$D406)^2</f>
        <v>0.24082430030256216</v>
      </c>
      <c r="Q406" s="11">
        <f>(M406-$D406)^2</f>
        <v>6.591701311693024E-2</v>
      </c>
    </row>
    <row r="407" spans="1:17" x14ac:dyDescent="0.25">
      <c r="A407" s="13">
        <v>46197</v>
      </c>
      <c r="B407">
        <v>23</v>
      </c>
      <c r="C407">
        <v>14.614334542352426</v>
      </c>
      <c r="D407" s="12">
        <v>15.23</v>
      </c>
      <c r="E407">
        <v>15.68827438354492</v>
      </c>
      <c r="F407">
        <f t="shared" si="13"/>
        <v>0.37904395574039779</v>
      </c>
      <c r="G407">
        <f t="shared" si="14"/>
        <v>0.21001541061347614</v>
      </c>
      <c r="K407">
        <v>15.68827438354492</v>
      </c>
      <c r="L407" s="15">
        <v>15.453916549682621</v>
      </c>
      <c r="M407" s="15">
        <v>15.876235961914061</v>
      </c>
      <c r="O407" s="11">
        <f t="shared" si="15"/>
        <v>0.21001541061347614</v>
      </c>
      <c r="P407" s="11">
        <f>(L407-$D407)^2</f>
        <v>5.0138621221769368E-2</v>
      </c>
      <c r="Q407" s="11">
        <f>(M407-$D407)^2</f>
        <v>0.41762091847099081</v>
      </c>
    </row>
    <row r="408" spans="1:17" x14ac:dyDescent="0.25">
      <c r="A408" s="13">
        <v>46197</v>
      </c>
      <c r="B408">
        <v>24</v>
      </c>
      <c r="C408">
        <v>8.7543112755417187</v>
      </c>
      <c r="D408" s="12">
        <v>9.57</v>
      </c>
      <c r="E408">
        <v>9.4484930038452148</v>
      </c>
      <c r="F408">
        <f t="shared" si="13"/>
        <v>0.66534809520837834</v>
      </c>
      <c r="G408">
        <f t="shared" si="14"/>
        <v>1.4763950114559044E-2</v>
      </c>
      <c r="K408">
        <v>9.4484930038452148</v>
      </c>
      <c r="L408" s="15">
        <v>9.4407453536987305</v>
      </c>
      <c r="M408" s="15">
        <v>10.151626586914061</v>
      </c>
      <c r="O408" s="11">
        <f t="shared" si="15"/>
        <v>1.4763950114559044E-2</v>
      </c>
      <c r="P408" s="11">
        <f>(L408-$D408)^2</f>
        <v>1.6706763590466363E-2</v>
      </c>
      <c r="Q408" s="11">
        <f>(M408-$D408)^2</f>
        <v>0.33828948660529912</v>
      </c>
    </row>
    <row r="409" spans="1:17" x14ac:dyDescent="0.25">
      <c r="A409" s="13">
        <v>46197</v>
      </c>
      <c r="B409">
        <v>25</v>
      </c>
      <c r="C409">
        <v>5.4195581462607452</v>
      </c>
      <c r="D409" s="12">
        <v>5.92</v>
      </c>
      <c r="E409">
        <v>5.7915363311767578</v>
      </c>
      <c r="F409">
        <f t="shared" si="13"/>
        <v>0.25044204897398165</v>
      </c>
      <c r="G409">
        <f t="shared" si="13"/>
        <v>1.6502914207527627E-2</v>
      </c>
      <c r="K409">
        <v>5.7915363311767578</v>
      </c>
      <c r="L409" s="15">
        <v>5.6795444488525391</v>
      </c>
      <c r="M409" s="15">
        <v>6.3750224113464364</v>
      </c>
      <c r="O409" s="11">
        <f>(K409-$D409)^2</f>
        <v>1.6502914207527627E-2</v>
      </c>
      <c r="P409" s="11">
        <f>(L409-$D409)^2</f>
        <v>5.7818872077629167E-2</v>
      </c>
      <c r="Q409" s="11">
        <f>(M409-$D409)^2</f>
        <v>0.20704539482752568</v>
      </c>
    </row>
    <row r="411" spans="1:17" x14ac:dyDescent="0.25">
      <c r="F411">
        <f>SUM(F2:F409)</f>
        <v>478.21355196919723</v>
      </c>
      <c r="G411">
        <f>SUM(G2:G409)</f>
        <v>473.83905955163539</v>
      </c>
      <c r="O411" s="11">
        <f>SUM(O2:O409)</f>
        <v>473.83905955163539</v>
      </c>
      <c r="P411" s="11">
        <f t="shared" ref="P411:Q411" si="16">SUM(P2:P409)</f>
        <v>458.57341783345191</v>
      </c>
      <c r="Q411" s="11">
        <f t="shared" si="16"/>
        <v>636.33689794690372</v>
      </c>
    </row>
  </sheetData>
  <autoFilter ref="A1:G385" xr:uid="{27CE4B9F-5126-4079-B1B2-656B5B3B1913}"/>
  <conditionalFormatting sqref="F2:G40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40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Q40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40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Q4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Arkusz2</vt:lpstr>
      <vt:lpstr>Arkusz3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Daszuta</dc:creator>
  <cp:lastModifiedBy>Rafal Daszuta</cp:lastModifiedBy>
  <dcterms:created xsi:type="dcterms:W3CDTF">2026-06-24T14:01:00Z</dcterms:created>
  <dcterms:modified xsi:type="dcterms:W3CDTF">2026-06-25T10:55:53Z</dcterms:modified>
</cp:coreProperties>
</file>